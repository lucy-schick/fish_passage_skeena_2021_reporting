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9FB4D4C4-8C83-4B1C-954A-C34AF0B8D980}"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<sst xmlns="http://schemas.openxmlformats.org/spreadsheetml/2006/main" count="530" uniqueCount="196">
  <si>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</si>
  <si>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</si>
  <si>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</si>
  <si>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</si>
  <si>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</si>
  <si>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</si>
  <si>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</si>
  <si>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</si>
  <si>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</si>
  <si>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</si>
  <si>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</si>
  <si>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</si>
  <si>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</si>
  <si>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</si>
  <si>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</si>
  <si>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</si>
  <si>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</si>
  <si>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</si>
  <si>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</si>
  <si>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</si>
  <si>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</si>
  <si>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</si>
  <si>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</si>
  <si>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</si>
  <si>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</si>
  <si>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</si>
  <si>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</si>
  <si>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</si>
  <si>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</si>
  <si>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</si>
  <si>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</si>
  <si>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</si>
  <si>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</si>
  <si>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</si>
  <si>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</si>
  <si>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</si>
  <si>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</si>
  <si>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</si>
  <si>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</si>
  <si>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</si>
  <si>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</si>
  <si>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</si>
  <si>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</si>
  <si>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</si>
  <si>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</si>
  <si>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</si>
  <si>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</si>
  <si>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</si>
  <si>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</si>
  <si>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</si>
  <si>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</si>
  <si>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</si>
  <si>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</si>
  <si>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</si>
  <si>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</si>
  <si>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</si>
  <si>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</si>
  <si>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</si>
  <si>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</si>
  <si>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</si>
  <si>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</si>
  <si>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</si>
  <si>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</si>
  <si>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</si>
  <si>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</si>
  <si>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</si>
  <si>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</si>
  <si>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</si>
  <si>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</si>
  <si>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</si>
  <si>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</si>
  <si>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</si>
  <si>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</si>
  <si>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</si>
  <si>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</si>
  <si>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</si>
  <si>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</si>
  <si>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</si>
  <si>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</si>
  <si>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</si>
  <si>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</si>
  <si>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</si>
  <si>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</si>
  <si>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</si>
  <si>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</si>
  <si>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</si>
  <si>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</si>
  <si>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</si>
  <si>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</si>
  <si>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</si>
  <si>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</si>
  <si>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</si>
  <si>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</si>
  <si>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</si>
  <si>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</si>
  <si>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</si>
  <si>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</si>
  <si>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</si>
  <si>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</si>
  <si>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</si>
  <si>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</si>
  <si>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</si>
  <si>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</si>
  <si>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</si>
  <si>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</si>
  <si>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</si>
  <si>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</si>
  <si>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</si>
  <si>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</si>
  <si>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</si>
  <si>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</si>
  <si>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</si>
  <si>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</si>
  <si>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</si>
  <si>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</si>
  <si>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</si>
  <si>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</si>
  <si>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</si>
  <si>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</si>
  <si>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</si>
  <si>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</si>
  <si>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</si>
  <si>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</si>
  <si>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</si>
  <si>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</si>
  <si>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</si>
  <si>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</si>
  <si>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</si>
  <si>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</si>
  <si>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</si>
  <si>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</si>
  <si>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</si>
  <si>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</si>
  <si>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</si>
  <si>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</si>
  <si>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</si>
  <si>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</si>
  <si>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</si>
  <si>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</si>
  <si>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</si>
  <si>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</si>
  <si>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</si>
  <si>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</si>
  <si>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</si>
  <si>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</si>
  <si>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</si>
  <si>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</si>
  <si>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</si>
  <si>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Both have outlet drop and water flowing through. Water depth in left pipe is 0.01m, left pipe no barrier of embeddment. Inlet drop only on right one. Also has baffling with substrate but baffling not in place for downstream ~3m, so not continuous. Estimated pool depth. 10:52</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</si>
  <si>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</si>
  <si>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</si>
  <si>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</si>
  <si>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2 pipes. Both have water, left bank one is flowing, right bank one is backwatered 100%. Outlet water depth, fish sighted in outlet of right barrel. 13:42</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</si>
  <si>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</si>
  <si>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</si>
  <si>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</si>
  <si>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</si>
  <si>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</si>
  <si>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</si>
  <si>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</si>
  <si>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</si>
  <si>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</si>
  <si>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</si>
  <si>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</si>
  <si>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</si>
  <si>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</si>
  <si>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</si>
  <si>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</si>
  <si>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</si>
  <si>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</si>
  <si>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</si>
  <si>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</si>
  <si>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</si>
  <si>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</si>
  <si>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</si>
  <si>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</si>
  <si>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</si>
  <si>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</si>
  <si>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</si>
  <si>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</si>
  <si>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</si>
  <si>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</si>
  <si>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</si>
  <si>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</si>
  <si>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</si>
  <si>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</si>
  <si>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</si>
  <si>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</si>
  <si>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</si>
  <si>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</si>
  <si>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</si>
  <si>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</si>
  <si>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</si>
  <si>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</si>
  <si>
    <t>No crossing actually exists in the field however site entered as a placeholder because there should be connection between Bulkley and Cesford at this location.  Survey found no culvert and landowner reported none present. Large man-made ditch through adjacent field may be draining some water.  Lower section of stream dry at time of survey. 11:22</t>
  </si>
  <si>
    <t>CN Railway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</si>
</sst>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20" activePane="bottomLeft" state="frozen"/>
      <selection pane="bottomLeft" activeCell="K39" sqref="K39"/>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t="s">
        <v>170</v>
      </c>
      <c r="L5" s="115" t="s">
        <v>112</v>
      </c>
      <c r="M5" s="115" t="s">
        <v>113</v>
      </c>
      <c r="N5" s="108">
        <v>1.05</v>
      </c>
      <c r="O5" s="108">
        <v>28.8</v>
      </c>
      <c r="P5" s="115" t="s">
        <v>114</v>
      </c>
      <c r="Q5" s="115"/>
      <c r="R5" s="115" t="s">
        <v>114</v>
      </c>
      <c r="S5" s="115" t="s">
        <v>114</v>
      </c>
      <c r="T5" s="115"/>
      <c r="U5" s="115">
        <v>1.5</v>
      </c>
      <c r="V5" s="115">
        <v>0.25</v>
      </c>
      <c r="W5" s="115">
        <v>0.3</v>
      </c>
      <c r="X5" s="115" t="s">
        <v>114</v>
      </c>
      <c r="Y5" s="115">
        <v>3</v>
      </c>
      <c r="Z5" s="115">
        <v>4.8</v>
      </c>
      <c r="AA5" s="115">
        <v>2.7</v>
      </c>
      <c r="AB5" s="114" t="s">
        <v>114</v>
      </c>
      <c r="AC5" s="114" t="s">
        <v>116</v>
      </c>
      <c r="AD5" s="115" t="s">
        <v>117</v>
      </c>
      <c r="AE5" s="115" t="s">
        <v>118</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15" t="s">
        <v>153</v>
      </c>
      <c r="AO5" s="115">
        <v>10</v>
      </c>
      <c r="AP5" s="102" t="s">
        <v>159</v>
      </c>
    </row>
    <row r="6" spans="1:42" s="13" customFormat="1" x14ac:dyDescent="0.25">
      <c r="A6" s="116">
        <v>44444</v>
      </c>
      <c r="B6" s="111">
        <v>198048</v>
      </c>
      <c r="C6" s="115"/>
      <c r="D6" s="115" t="s">
        <v>92</v>
      </c>
      <c r="E6" s="76">
        <v>9</v>
      </c>
      <c r="F6" s="77">
        <v>674397.136056341</v>
      </c>
      <c r="G6" s="78">
        <v>6043432.5314838402</v>
      </c>
      <c r="H6" s="115" t="s">
        <v>111</v>
      </c>
      <c r="I6" s="76" t="s">
        <v>102</v>
      </c>
      <c r="J6" s="103"/>
      <c r="K6" s="115" t="s">
        <v>171</v>
      </c>
      <c r="L6" s="115" t="s">
        <v>112</v>
      </c>
      <c r="M6" s="115" t="s">
        <v>113</v>
      </c>
      <c r="N6" s="108">
        <v>2.5</v>
      </c>
      <c r="O6" s="108">
        <v>25.13</v>
      </c>
      <c r="P6" s="115" t="s">
        <v>114</v>
      </c>
      <c r="Q6" s="120"/>
      <c r="R6" s="115" t="s">
        <v>114</v>
      </c>
      <c r="S6" s="115" t="s">
        <v>116</v>
      </c>
      <c r="T6" s="115">
        <v>30</v>
      </c>
      <c r="U6" s="115">
        <v>1</v>
      </c>
      <c r="V6" s="115">
        <v>0</v>
      </c>
      <c r="W6" s="115">
        <v>0.09</v>
      </c>
      <c r="X6" s="115" t="s">
        <v>116</v>
      </c>
      <c r="Y6" s="115">
        <v>1.52</v>
      </c>
      <c r="Z6" s="115">
        <v>5.48</v>
      </c>
      <c r="AA6" s="115">
        <v>3.5</v>
      </c>
      <c r="AB6" s="114" t="s">
        <v>114</v>
      </c>
      <c r="AC6" s="114" t="s">
        <v>116</v>
      </c>
      <c r="AD6" s="115" t="s">
        <v>117</v>
      </c>
      <c r="AE6" s="115" t="s">
        <v>118</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t="s">
        <v>153</v>
      </c>
      <c r="AO6" s="115">
        <v>10</v>
      </c>
      <c r="AP6" s="102" t="s">
        <v>142</v>
      </c>
    </row>
    <row r="7" spans="1:42" s="13" customFormat="1" x14ac:dyDescent="0.25">
      <c r="A7" s="116">
        <v>44444</v>
      </c>
      <c r="B7" s="111">
        <v>198049</v>
      </c>
      <c r="C7" s="115"/>
      <c r="D7" s="115" t="s">
        <v>92</v>
      </c>
      <c r="E7" s="76">
        <v>9</v>
      </c>
      <c r="F7" s="77">
        <v>674875.41850711498</v>
      </c>
      <c r="G7" s="78">
        <v>6043782.0355301201</v>
      </c>
      <c r="H7" s="115" t="s">
        <v>111</v>
      </c>
      <c r="I7" s="76" t="s">
        <v>115</v>
      </c>
      <c r="J7" s="103"/>
      <c r="K7" s="115" t="s">
        <v>171</v>
      </c>
      <c r="L7" s="115" t="s">
        <v>112</v>
      </c>
      <c r="M7" s="115" t="s">
        <v>113</v>
      </c>
      <c r="N7" s="113">
        <v>3.7</v>
      </c>
      <c r="O7" s="113">
        <v>20.89</v>
      </c>
      <c r="P7" s="115" t="s">
        <v>114</v>
      </c>
      <c r="Q7" s="120"/>
      <c r="R7" s="115" t="s">
        <v>114</v>
      </c>
      <c r="S7" s="115" t="s">
        <v>114</v>
      </c>
      <c r="T7" s="120"/>
      <c r="U7" s="115">
        <v>1</v>
      </c>
      <c r="V7" s="115">
        <v>0.5</v>
      </c>
      <c r="W7" s="115">
        <v>0.25</v>
      </c>
      <c r="X7" s="115" t="s">
        <v>114</v>
      </c>
      <c r="Y7" s="115">
        <v>1.46</v>
      </c>
      <c r="Z7" s="115">
        <v>4.9000000000000004</v>
      </c>
      <c r="AA7" s="115">
        <v>2.83</v>
      </c>
      <c r="AB7" s="114" t="s">
        <v>114</v>
      </c>
      <c r="AC7" s="114" t="s">
        <v>116</v>
      </c>
      <c r="AD7" s="115" t="s">
        <v>117</v>
      </c>
      <c r="AE7" s="115" t="s">
        <v>118</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t="s">
        <v>153</v>
      </c>
      <c r="AO7" s="115">
        <v>10</v>
      </c>
      <c r="AP7" s="115" t="s">
        <v>143</v>
      </c>
    </row>
    <row r="8" spans="1:42" s="13" customFormat="1" x14ac:dyDescent="0.25">
      <c r="A8" s="116">
        <v>44446</v>
      </c>
      <c r="B8" s="109">
        <v>197370</v>
      </c>
      <c r="C8" s="115"/>
      <c r="D8" s="115" t="s">
        <v>92</v>
      </c>
      <c r="E8" s="76">
        <v>9</v>
      </c>
      <c r="F8" s="77">
        <v>639980.39781360398</v>
      </c>
      <c r="G8" s="78">
        <v>6008557.3128170799</v>
      </c>
      <c r="H8" s="115" t="s">
        <v>119</v>
      </c>
      <c r="I8" s="76" t="s">
        <v>120</v>
      </c>
      <c r="J8" s="104"/>
      <c r="K8" s="107" t="s">
        <v>172</v>
      </c>
      <c r="L8" s="115" t="s">
        <v>112</v>
      </c>
      <c r="M8" s="115" t="s">
        <v>113</v>
      </c>
      <c r="N8" s="113">
        <v>0.9</v>
      </c>
      <c r="O8" s="113">
        <v>18</v>
      </c>
      <c r="P8" s="115" t="s">
        <v>114</v>
      </c>
      <c r="Q8" s="120"/>
      <c r="R8" s="115" t="s">
        <v>114</v>
      </c>
      <c r="S8" s="115" t="s">
        <v>116</v>
      </c>
      <c r="T8" s="115">
        <v>100</v>
      </c>
      <c r="U8" s="115">
        <v>1.5</v>
      </c>
      <c r="V8" s="115">
        <v>0</v>
      </c>
      <c r="W8" s="115">
        <v>0.4</v>
      </c>
      <c r="X8" s="115" t="s">
        <v>114</v>
      </c>
      <c r="Y8" s="115">
        <v>1</v>
      </c>
      <c r="Z8" s="115">
        <v>6.8</v>
      </c>
      <c r="AA8" s="115">
        <v>0.5</v>
      </c>
      <c r="AB8" s="114" t="s">
        <v>116</v>
      </c>
      <c r="AC8" s="114" t="s">
        <v>114</v>
      </c>
      <c r="AD8" s="115" t="s">
        <v>117</v>
      </c>
      <c r="AE8" s="115" t="s">
        <v>118</v>
      </c>
      <c r="AF8" s="22">
        <f t="shared" si="0"/>
        <v>7.5555555555555554</v>
      </c>
      <c r="AG8" s="15">
        <f t="shared" si="1"/>
        <v>3</v>
      </c>
      <c r="AH8" s="7">
        <f t="shared" si="2"/>
        <v>10</v>
      </c>
      <c r="AI8" s="7">
        <f t="shared" si="3"/>
        <v>0</v>
      </c>
      <c r="AJ8" s="7">
        <f t="shared" si="4"/>
        <v>5</v>
      </c>
      <c r="AK8" s="12">
        <f t="shared" si="5"/>
        <v>6</v>
      </c>
      <c r="AL8" s="14">
        <f t="shared" si="6"/>
        <v>24</v>
      </c>
      <c r="AM8" s="16" t="str">
        <f t="shared" si="7"/>
        <v>Barrier</v>
      </c>
      <c r="AN8" s="115" t="s">
        <v>153</v>
      </c>
      <c r="AO8" s="115">
        <v>12</v>
      </c>
      <c r="AP8" s="115" t="s">
        <v>190</v>
      </c>
    </row>
    <row r="9" spans="1:42" x14ac:dyDescent="0.25">
      <c r="A9" s="116">
        <v>44454</v>
      </c>
      <c r="B9" s="110">
        <v>57944</v>
      </c>
      <c r="C9" s="115"/>
      <c r="D9" s="115" t="s">
        <v>92</v>
      </c>
      <c r="E9" s="76">
        <v>9</v>
      </c>
      <c r="F9" s="77">
        <v>607729.00796012499</v>
      </c>
      <c r="G9" s="78">
        <v>6089383.0939090801</v>
      </c>
      <c r="H9" s="102" t="s">
        <v>109</v>
      </c>
      <c r="I9" s="76" t="s">
        <v>102</v>
      </c>
      <c r="J9" s="103"/>
      <c r="K9" s="107" t="s">
        <v>173</v>
      </c>
      <c r="L9" s="115" t="s">
        <v>112</v>
      </c>
      <c r="M9" s="114" t="s">
        <v>146</v>
      </c>
      <c r="N9" s="112">
        <v>7</v>
      </c>
      <c r="O9" s="112">
        <v>30</v>
      </c>
      <c r="P9" s="115" t="s">
        <v>114</v>
      </c>
      <c r="Q9" s="120"/>
      <c r="R9" s="115" t="s">
        <v>114</v>
      </c>
      <c r="S9" s="115" t="s">
        <v>114</v>
      </c>
      <c r="T9" s="120"/>
      <c r="U9" s="115">
        <v>2</v>
      </c>
      <c r="V9" s="115">
        <v>0</v>
      </c>
      <c r="W9" s="115">
        <v>2</v>
      </c>
      <c r="X9" s="115" t="s">
        <v>114</v>
      </c>
      <c r="Y9" s="115">
        <v>3</v>
      </c>
      <c r="Z9" s="115">
        <v>8.5</v>
      </c>
      <c r="AA9" s="115">
        <v>2.1</v>
      </c>
      <c r="AB9" s="114" t="s">
        <v>114</v>
      </c>
      <c r="AC9" s="114" t="s">
        <v>114</v>
      </c>
      <c r="AD9" s="115" t="s">
        <v>117</v>
      </c>
      <c r="AE9" s="115" t="s">
        <v>118</v>
      </c>
      <c r="AF9" s="22">
        <f t="shared" si="0"/>
        <v>1.2142857142857142</v>
      </c>
      <c r="AG9" s="15">
        <f t="shared" si="1"/>
        <v>6</v>
      </c>
      <c r="AH9" s="7">
        <f t="shared" si="2"/>
        <v>10</v>
      </c>
      <c r="AI9" s="7">
        <f t="shared" si="3"/>
        <v>0</v>
      </c>
      <c r="AJ9" s="7">
        <f t="shared" si="4"/>
        <v>10</v>
      </c>
      <c r="AK9" s="12">
        <f t="shared" si="5"/>
        <v>3</v>
      </c>
      <c r="AL9" s="14">
        <f t="shared" si="6"/>
        <v>29</v>
      </c>
      <c r="AM9" s="16" t="str">
        <f t="shared" si="7"/>
        <v>Barrier</v>
      </c>
      <c r="AN9" s="115" t="s">
        <v>153</v>
      </c>
      <c r="AO9" s="115">
        <v>13.5</v>
      </c>
      <c r="AP9" s="115" t="s">
        <v>154</v>
      </c>
    </row>
    <row r="10" spans="1:42" x14ac:dyDescent="0.25">
      <c r="A10" s="116">
        <v>44439</v>
      </c>
      <c r="B10" s="110">
        <v>197967</v>
      </c>
      <c r="C10" s="115"/>
      <c r="D10" s="115" t="s">
        <v>158</v>
      </c>
      <c r="E10" s="76">
        <v>9</v>
      </c>
      <c r="F10" s="77">
        <v>692434.60075294902</v>
      </c>
      <c r="G10" s="78">
        <v>6032330.5097483601</v>
      </c>
      <c r="H10" s="102" t="s">
        <v>110</v>
      </c>
      <c r="I10" s="76" t="s">
        <v>102</v>
      </c>
      <c r="J10" s="103"/>
      <c r="K10" s="115" t="s">
        <v>173</v>
      </c>
      <c r="L10" s="115" t="s">
        <v>112</v>
      </c>
      <c r="M10" s="115" t="s">
        <v>113</v>
      </c>
      <c r="N10" s="113">
        <v>3</v>
      </c>
      <c r="O10" s="113">
        <v>30</v>
      </c>
      <c r="P10" s="115" t="s">
        <v>114</v>
      </c>
      <c r="Q10" s="113"/>
      <c r="R10" s="115" t="s">
        <v>114</v>
      </c>
      <c r="S10" s="115" t="s">
        <v>114</v>
      </c>
      <c r="T10" s="113"/>
      <c r="U10" s="113">
        <v>9.99</v>
      </c>
      <c r="V10" s="115">
        <v>0</v>
      </c>
      <c r="W10" s="113">
        <v>0.4</v>
      </c>
      <c r="X10" s="115" t="s">
        <v>116</v>
      </c>
      <c r="Y10" s="113">
        <v>2.5</v>
      </c>
      <c r="Z10" s="113">
        <v>5.3</v>
      </c>
      <c r="AA10" s="115">
        <v>1.7</v>
      </c>
      <c r="AB10" s="115" t="s">
        <v>116</v>
      </c>
      <c r="AC10" s="115" t="s">
        <v>114</v>
      </c>
      <c r="AD10" s="115" t="s">
        <v>117</v>
      </c>
      <c r="AE10" s="115" t="s">
        <v>124</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t="s">
        <v>153</v>
      </c>
      <c r="AO10" s="113">
        <v>31</v>
      </c>
      <c r="AP10" s="115" t="s">
        <v>160</v>
      </c>
    </row>
    <row r="11" spans="1:42" x14ac:dyDescent="0.25">
      <c r="A11" s="116">
        <v>44446</v>
      </c>
      <c r="B11" s="110">
        <v>197379</v>
      </c>
      <c r="C11" s="102"/>
      <c r="D11" s="114" t="s">
        <v>95</v>
      </c>
      <c r="E11" s="114">
        <v>9</v>
      </c>
      <c r="F11" s="106">
        <v>640960.80642202997</v>
      </c>
      <c r="G11" s="105">
        <v>6005929.96795082</v>
      </c>
      <c r="H11" s="102" t="s">
        <v>96</v>
      </c>
      <c r="I11" s="76" t="s">
        <v>97</v>
      </c>
      <c r="J11" s="103"/>
      <c r="K11" s="114" t="s">
        <v>174</v>
      </c>
      <c r="L11" s="115" t="s">
        <v>112</v>
      </c>
      <c r="M11" s="115" t="s">
        <v>113</v>
      </c>
      <c r="N11" s="112">
        <v>1.5</v>
      </c>
      <c r="O11" s="112">
        <v>26.2</v>
      </c>
      <c r="P11" s="114" t="s">
        <v>114</v>
      </c>
      <c r="Q11" s="122"/>
      <c r="R11" s="114" t="s">
        <v>114</v>
      </c>
      <c r="S11" s="114" t="s">
        <v>114</v>
      </c>
      <c r="T11" s="122"/>
      <c r="U11" s="112">
        <v>5</v>
      </c>
      <c r="V11" s="114">
        <v>0.47</v>
      </c>
      <c r="W11" s="112">
        <v>0.9</v>
      </c>
      <c r="X11" s="114" t="s">
        <v>114</v>
      </c>
      <c r="Y11" s="112">
        <v>1.5</v>
      </c>
      <c r="Z11" s="112">
        <v>6.4</v>
      </c>
      <c r="AA11" s="114">
        <v>4.8</v>
      </c>
      <c r="AB11" s="114" t="s">
        <v>114</v>
      </c>
      <c r="AC11" s="114" t="s">
        <v>114</v>
      </c>
      <c r="AD11" s="114" t="s">
        <v>117</v>
      </c>
      <c r="AE11" s="114" t="s">
        <v>118</v>
      </c>
      <c r="AF11" s="22">
        <f t="shared" si="0"/>
        <v>4.2666666666666666</v>
      </c>
      <c r="AG11" s="15">
        <f t="shared" si="1"/>
        <v>3</v>
      </c>
      <c r="AH11" s="7">
        <f t="shared" si="2"/>
        <v>10</v>
      </c>
      <c r="AI11" s="7">
        <f t="shared" si="3"/>
        <v>10</v>
      </c>
      <c r="AJ11" s="7">
        <f>IF(Y11&lt;1,0,IF(AND(Y11&gt;=1,Y11&lt;3),5,IF(Y11&gt;=3,10,0)))</f>
        <v>5</v>
      </c>
      <c r="AK11" s="12">
        <f t="shared" si="5"/>
        <v>6</v>
      </c>
      <c r="AL11" s="14">
        <f t="shared" si="6"/>
        <v>34</v>
      </c>
      <c r="AM11" s="16" t="str">
        <f t="shared" si="7"/>
        <v>Barrier</v>
      </c>
      <c r="AN11" s="114" t="s">
        <v>153</v>
      </c>
      <c r="AO11" s="115">
        <v>16</v>
      </c>
      <c r="AP11" s="115" t="s">
        <v>145</v>
      </c>
    </row>
    <row r="12" spans="1:42" ht="30" x14ac:dyDescent="0.25">
      <c r="A12" s="116">
        <v>44446</v>
      </c>
      <c r="B12" s="110">
        <v>197962</v>
      </c>
      <c r="C12" s="115"/>
      <c r="D12" s="115" t="s">
        <v>95</v>
      </c>
      <c r="E12" s="76">
        <v>9</v>
      </c>
      <c r="F12" s="77">
        <v>643460.29364100995</v>
      </c>
      <c r="G12" s="78">
        <v>6025889.5422638701</v>
      </c>
      <c r="H12" s="76" t="s">
        <v>98</v>
      </c>
      <c r="I12" s="76" t="s">
        <v>99</v>
      </c>
      <c r="J12" s="42">
        <v>7.4</v>
      </c>
      <c r="K12" s="76" t="s">
        <v>172</v>
      </c>
      <c r="L12" s="115" t="s">
        <v>112</v>
      </c>
      <c r="M12" s="115" t="s">
        <v>146</v>
      </c>
      <c r="N12" s="113">
        <v>3.6</v>
      </c>
      <c r="O12" s="113">
        <v>15</v>
      </c>
      <c r="P12" s="115" t="s">
        <v>114</v>
      </c>
      <c r="Q12" s="120"/>
      <c r="R12" s="115" t="s">
        <v>114</v>
      </c>
      <c r="S12" s="115" t="s">
        <v>114</v>
      </c>
      <c r="T12" s="121"/>
      <c r="U12" s="113">
        <v>3.5</v>
      </c>
      <c r="V12" s="115">
        <v>0.5</v>
      </c>
      <c r="W12" s="113">
        <v>1.05</v>
      </c>
      <c r="X12" s="115" t="s">
        <v>116</v>
      </c>
      <c r="Y12" s="113">
        <v>3.5</v>
      </c>
      <c r="Z12" s="113">
        <v>9.3000000000000007</v>
      </c>
      <c r="AA12" s="115">
        <v>4</v>
      </c>
      <c r="AB12" s="115" t="s">
        <v>114</v>
      </c>
      <c r="AC12" s="115" t="s">
        <v>114</v>
      </c>
      <c r="AD12" s="115" t="s">
        <v>117</v>
      </c>
      <c r="AE12" s="115" t="s">
        <v>124</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t="s">
        <v>153</v>
      </c>
      <c r="AO12" s="113">
        <v>16</v>
      </c>
      <c r="AP12" s="115" t="s">
        <v>147</v>
      </c>
    </row>
    <row r="13" spans="1:42" ht="30" x14ac:dyDescent="0.25">
      <c r="A13" s="116">
        <v>44446</v>
      </c>
      <c r="B13" s="75">
        <v>123770</v>
      </c>
      <c r="C13" s="115"/>
      <c r="D13" s="115" t="s">
        <v>100</v>
      </c>
      <c r="E13" s="76">
        <v>9</v>
      </c>
      <c r="F13" s="77">
        <v>606626.53106057202</v>
      </c>
      <c r="G13" s="78">
        <v>6097184.7682490302</v>
      </c>
      <c r="H13" s="76" t="s">
        <v>101</v>
      </c>
      <c r="I13" s="76" t="s">
        <v>102</v>
      </c>
      <c r="J13" s="79"/>
      <c r="K13" s="76" t="s">
        <v>171</v>
      </c>
      <c r="L13" s="115" t="s">
        <v>112</v>
      </c>
      <c r="M13" s="115" t="s">
        <v>113</v>
      </c>
      <c r="N13" s="113">
        <v>4</v>
      </c>
      <c r="O13" s="113">
        <v>36</v>
      </c>
      <c r="P13" s="115" t="s">
        <v>114</v>
      </c>
      <c r="Q13" s="120"/>
      <c r="R13" s="115" t="s">
        <v>114</v>
      </c>
      <c r="S13" s="115" t="s">
        <v>114</v>
      </c>
      <c r="T13" s="120"/>
      <c r="U13" s="113">
        <v>3.5</v>
      </c>
      <c r="V13" s="115">
        <v>0.64</v>
      </c>
      <c r="W13" s="113">
        <v>1.5</v>
      </c>
      <c r="X13" s="115" t="s">
        <v>116</v>
      </c>
      <c r="Y13" s="113">
        <v>2</v>
      </c>
      <c r="Z13" s="113">
        <v>12.3</v>
      </c>
      <c r="AA13" s="115">
        <v>2.9</v>
      </c>
      <c r="AB13" s="115" t="s">
        <v>114</v>
      </c>
      <c r="AC13" s="115" t="s">
        <v>116</v>
      </c>
      <c r="AD13" s="115" t="s">
        <v>117</v>
      </c>
      <c r="AE13" s="115" t="s">
        <v>124</v>
      </c>
      <c r="AF13" s="22">
        <f t="shared" si="8"/>
        <v>3.0750000000000002</v>
      </c>
      <c r="AG13" s="15">
        <f t="shared" si="1"/>
        <v>6</v>
      </c>
      <c r="AH13" s="7">
        <f t="shared" si="2"/>
        <v>10</v>
      </c>
      <c r="AI13" s="7">
        <f t="shared" si="3"/>
        <v>10</v>
      </c>
      <c r="AJ13" s="7">
        <f t="shared" si="4"/>
        <v>5</v>
      </c>
      <c r="AK13" s="12">
        <f t="shared" si="5"/>
        <v>6</v>
      </c>
      <c r="AL13" s="14">
        <f t="shared" si="9"/>
        <v>37</v>
      </c>
      <c r="AM13" s="16" t="str">
        <f t="shared" si="7"/>
        <v>Barrier</v>
      </c>
      <c r="AN13" s="115" t="s">
        <v>153</v>
      </c>
      <c r="AO13" s="113">
        <v>19</v>
      </c>
      <c r="AP13" s="115" t="s">
        <v>148</v>
      </c>
    </row>
    <row r="14" spans="1:42" ht="30" x14ac:dyDescent="0.25">
      <c r="A14" s="116">
        <v>44447</v>
      </c>
      <c r="B14" s="75">
        <v>198064</v>
      </c>
      <c r="C14" s="115"/>
      <c r="D14" s="115" t="s">
        <v>121</v>
      </c>
      <c r="E14" s="76">
        <v>9</v>
      </c>
      <c r="F14" s="77">
        <v>623368.99372882501</v>
      </c>
      <c r="G14" s="78">
        <v>6000282.9798788195</v>
      </c>
      <c r="H14" s="76" t="s">
        <v>122</v>
      </c>
      <c r="I14" s="76" t="s">
        <v>123</v>
      </c>
      <c r="J14" s="79"/>
      <c r="K14" s="76" t="s">
        <v>175</v>
      </c>
      <c r="L14" s="115" t="s">
        <v>112</v>
      </c>
      <c r="M14" s="115" t="s">
        <v>113</v>
      </c>
      <c r="N14" s="113">
        <v>1.6</v>
      </c>
      <c r="O14" s="113">
        <v>13.5</v>
      </c>
      <c r="P14" s="115" t="s">
        <v>114</v>
      </c>
      <c r="Q14" s="120"/>
      <c r="R14" s="115" t="s">
        <v>114</v>
      </c>
      <c r="S14" s="115" t="s">
        <v>114</v>
      </c>
      <c r="T14" s="120"/>
      <c r="U14" s="113">
        <v>1</v>
      </c>
      <c r="V14" s="115">
        <v>0.54</v>
      </c>
      <c r="W14" s="113">
        <v>0.6</v>
      </c>
      <c r="X14" s="115" t="s">
        <v>114</v>
      </c>
      <c r="Y14" s="113">
        <v>5</v>
      </c>
      <c r="Z14" s="113">
        <v>2.56</v>
      </c>
      <c r="AA14" s="115">
        <v>4.5</v>
      </c>
      <c r="AB14" s="115" t="s">
        <v>114</v>
      </c>
      <c r="AC14" s="115" t="s">
        <v>116</v>
      </c>
      <c r="AD14" s="115"/>
      <c r="AE14" s="115" t="s">
        <v>124</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t="s">
        <v>153</v>
      </c>
      <c r="AO14" s="113">
        <v>10</v>
      </c>
      <c r="AP14" s="115" t="s">
        <v>189</v>
      </c>
    </row>
    <row r="15" spans="1:42" x14ac:dyDescent="0.25">
      <c r="A15" s="116">
        <v>44454</v>
      </c>
      <c r="B15" s="75">
        <v>58151</v>
      </c>
      <c r="C15" s="115"/>
      <c r="D15" s="115" t="s">
        <v>95</v>
      </c>
      <c r="E15" s="76">
        <v>9</v>
      </c>
      <c r="F15" s="77">
        <v>629753.329286405</v>
      </c>
      <c r="G15" s="78">
        <v>6061125.7610074403</v>
      </c>
      <c r="H15" s="76" t="s">
        <v>103</v>
      </c>
      <c r="I15" s="76" t="s">
        <v>104</v>
      </c>
      <c r="J15" s="79"/>
      <c r="K15" s="76" t="s">
        <v>170</v>
      </c>
      <c r="L15" s="115" t="s">
        <v>112</v>
      </c>
      <c r="M15" s="115" t="s">
        <v>113</v>
      </c>
      <c r="N15" s="113">
        <v>1</v>
      </c>
      <c r="O15" s="113">
        <v>14</v>
      </c>
      <c r="P15" s="115" t="s">
        <v>114</v>
      </c>
      <c r="Q15" s="120"/>
      <c r="R15" s="115" t="s">
        <v>114</v>
      </c>
      <c r="S15" s="115" t="s">
        <v>114</v>
      </c>
      <c r="T15" s="121"/>
      <c r="U15" s="113">
        <v>0.5</v>
      </c>
      <c r="V15" s="115">
        <v>0.25</v>
      </c>
      <c r="W15" s="113">
        <v>0.64</v>
      </c>
      <c r="X15" s="115" t="s">
        <v>114</v>
      </c>
      <c r="Y15" s="113">
        <v>5</v>
      </c>
      <c r="Z15" s="113">
        <v>1.8</v>
      </c>
      <c r="AA15" s="115">
        <v>1.5</v>
      </c>
      <c r="AB15" s="25" t="s">
        <v>114</v>
      </c>
      <c r="AC15" s="25" t="s">
        <v>114</v>
      </c>
      <c r="AD15" s="115" t="s">
        <v>117</v>
      </c>
      <c r="AE15" s="115" t="s">
        <v>124</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t="s">
        <v>188</v>
      </c>
      <c r="AO15" s="113">
        <v>3</v>
      </c>
      <c r="AP15" s="115" t="s">
        <v>149</v>
      </c>
    </row>
    <row r="16" spans="1:42" ht="45" x14ac:dyDescent="0.25">
      <c r="A16" s="116">
        <v>44455</v>
      </c>
      <c r="B16" s="75">
        <v>124420</v>
      </c>
      <c r="C16" s="115"/>
      <c r="D16" s="115" t="s">
        <v>105</v>
      </c>
      <c r="E16" s="76">
        <v>9</v>
      </c>
      <c r="F16" s="77">
        <v>586632.28113534604</v>
      </c>
      <c r="G16" s="78">
        <v>6122394.8734723302</v>
      </c>
      <c r="H16" s="76" t="s">
        <v>106</v>
      </c>
      <c r="I16" s="76" t="s">
        <v>102</v>
      </c>
      <c r="J16" s="79"/>
      <c r="K16" s="76" t="s">
        <v>176</v>
      </c>
      <c r="L16" s="115" t="s">
        <v>112</v>
      </c>
      <c r="M16" s="115" t="s">
        <v>113</v>
      </c>
      <c r="N16" s="113">
        <v>1.6</v>
      </c>
      <c r="O16" s="113">
        <v>90</v>
      </c>
      <c r="P16" s="115" t="s">
        <v>114</v>
      </c>
      <c r="Q16" s="120"/>
      <c r="R16" s="115" t="s">
        <v>114</v>
      </c>
      <c r="S16" s="115" t="s">
        <v>114</v>
      </c>
      <c r="T16" s="121"/>
      <c r="U16" s="113">
        <v>9.99</v>
      </c>
      <c r="V16" s="115">
        <v>0.8</v>
      </c>
      <c r="W16" s="113">
        <v>1.6</v>
      </c>
      <c r="X16" s="115" t="s">
        <v>116</v>
      </c>
      <c r="Y16" s="113">
        <v>3.5</v>
      </c>
      <c r="Z16" s="113">
        <v>5.6</v>
      </c>
      <c r="AA16" s="115">
        <v>2</v>
      </c>
      <c r="AB16" s="25" t="s">
        <v>114</v>
      </c>
      <c r="AC16" s="25" t="s">
        <v>114</v>
      </c>
      <c r="AD16" s="115" t="s">
        <v>117</v>
      </c>
      <c r="AE16" s="115" t="s">
        <v>124</v>
      </c>
      <c r="AF16" s="22">
        <f t="shared" si="8"/>
        <v>3.4999999999999996</v>
      </c>
      <c r="AG16" s="15">
        <f t="shared" si="1"/>
        <v>6</v>
      </c>
      <c r="AH16" s="7">
        <f t="shared" si="2"/>
        <v>10</v>
      </c>
      <c r="AI16" s="7">
        <f t="shared" si="3"/>
        <v>10</v>
      </c>
      <c r="AJ16" s="7">
        <f t="shared" si="4"/>
        <v>10</v>
      </c>
      <c r="AK16" s="12">
        <f t="shared" si="5"/>
        <v>6</v>
      </c>
      <c r="AL16" s="14">
        <f t="shared" si="9"/>
        <v>42</v>
      </c>
      <c r="AM16" s="16" t="str">
        <f t="shared" si="7"/>
        <v>Barrier</v>
      </c>
      <c r="AN16" s="115" t="s">
        <v>153</v>
      </c>
      <c r="AO16" s="113">
        <v>10</v>
      </c>
      <c r="AP16" s="115" t="s">
        <v>150</v>
      </c>
    </row>
    <row r="17" spans="1:42" ht="45" x14ac:dyDescent="0.25">
      <c r="A17" s="116">
        <v>44455</v>
      </c>
      <c r="B17" s="75">
        <v>124421</v>
      </c>
      <c r="C17" s="115"/>
      <c r="D17" s="115" t="s">
        <v>95</v>
      </c>
      <c r="E17" s="76">
        <v>9</v>
      </c>
      <c r="F17" s="77">
        <v>589466.50986311899</v>
      </c>
      <c r="G17" s="78">
        <v>6123042.0402227398</v>
      </c>
      <c r="H17" s="76" t="s">
        <v>107</v>
      </c>
      <c r="I17" s="76" t="s">
        <v>108</v>
      </c>
      <c r="J17" s="79"/>
      <c r="K17" s="76" t="s">
        <v>177</v>
      </c>
      <c r="L17" s="115" t="s">
        <v>112</v>
      </c>
      <c r="M17" s="115" t="s">
        <v>113</v>
      </c>
      <c r="N17" s="113">
        <v>1</v>
      </c>
      <c r="O17" s="113">
        <v>15</v>
      </c>
      <c r="P17" s="115" t="s">
        <v>114</v>
      </c>
      <c r="Q17" s="121"/>
      <c r="R17" s="115" t="s">
        <v>114</v>
      </c>
      <c r="S17" s="115" t="s">
        <v>114</v>
      </c>
      <c r="T17" s="120"/>
      <c r="U17" s="113">
        <v>1.5</v>
      </c>
      <c r="V17" s="115">
        <v>0.3</v>
      </c>
      <c r="W17" s="113">
        <v>0.27</v>
      </c>
      <c r="X17" s="115" t="s">
        <v>116</v>
      </c>
      <c r="Y17" s="113">
        <v>1</v>
      </c>
      <c r="Z17" s="113">
        <v>2.6</v>
      </c>
      <c r="AA17" s="115">
        <v>1</v>
      </c>
      <c r="AB17" s="25" t="s">
        <v>114</v>
      </c>
      <c r="AC17" s="25" t="s">
        <v>114</v>
      </c>
      <c r="AD17" s="115" t="s">
        <v>117</v>
      </c>
      <c r="AE17" s="115" t="s">
        <v>124</v>
      </c>
      <c r="AF17" s="22">
        <f t="shared" si="8"/>
        <v>2.6</v>
      </c>
      <c r="AG17" s="15">
        <f t="shared" si="1"/>
        <v>3</v>
      </c>
      <c r="AH17" s="7">
        <f t="shared" si="2"/>
        <v>10</v>
      </c>
      <c r="AI17" s="7">
        <f t="shared" si="3"/>
        <v>10</v>
      </c>
      <c r="AJ17" s="7">
        <f t="shared" si="4"/>
        <v>5</v>
      </c>
      <c r="AK17" s="12">
        <f t="shared" si="5"/>
        <v>6</v>
      </c>
      <c r="AL17" s="14">
        <f t="shared" si="9"/>
        <v>34</v>
      </c>
      <c r="AM17" s="16" t="str">
        <f t="shared" si="7"/>
        <v>Barrier</v>
      </c>
      <c r="AN17" s="115" t="s">
        <v>153</v>
      </c>
      <c r="AO17" s="113">
        <v>10</v>
      </c>
      <c r="AP17" s="115" t="s">
        <v>151</v>
      </c>
    </row>
    <row r="18" spans="1:42" ht="45" x14ac:dyDescent="0.25">
      <c r="A18" s="116">
        <v>44455</v>
      </c>
      <c r="B18" s="75">
        <v>124422</v>
      </c>
      <c r="C18" s="115"/>
      <c r="D18" s="115" t="s">
        <v>95</v>
      </c>
      <c r="E18" s="76">
        <v>9</v>
      </c>
      <c r="F18" s="77">
        <v>589499.88085307903</v>
      </c>
      <c r="G18" s="78">
        <v>6123161.5824620696</v>
      </c>
      <c r="H18" s="76" t="s">
        <v>107</v>
      </c>
      <c r="I18" s="76" t="s">
        <v>102</v>
      </c>
      <c r="J18" s="79"/>
      <c r="K18" s="76" t="s">
        <v>178</v>
      </c>
      <c r="L18" s="115" t="s">
        <v>112</v>
      </c>
      <c r="M18" s="115" t="s">
        <v>113</v>
      </c>
      <c r="N18" s="113">
        <v>1.2</v>
      </c>
      <c r="O18" s="113">
        <v>45</v>
      </c>
      <c r="P18" s="115" t="s">
        <v>114</v>
      </c>
      <c r="Q18" s="120"/>
      <c r="R18" s="115" t="s">
        <v>114</v>
      </c>
      <c r="S18" s="115" t="s">
        <v>116</v>
      </c>
      <c r="T18" s="113">
        <v>100</v>
      </c>
      <c r="U18" s="113">
        <v>6</v>
      </c>
      <c r="V18" s="115">
        <v>0</v>
      </c>
      <c r="W18" s="113">
        <v>0</v>
      </c>
      <c r="X18" s="115" t="s">
        <v>116</v>
      </c>
      <c r="Y18" s="113">
        <v>1.5</v>
      </c>
      <c r="Z18" s="113">
        <v>5.2</v>
      </c>
      <c r="AA18" s="115">
        <v>5.2</v>
      </c>
      <c r="AB18" s="25" t="s">
        <v>116</v>
      </c>
      <c r="AC18" s="25" t="s">
        <v>116</v>
      </c>
      <c r="AD18" s="115" t="s">
        <v>117</v>
      </c>
      <c r="AE18" s="115" t="s">
        <v>124</v>
      </c>
      <c r="AF18" s="22">
        <f t="shared" si="8"/>
        <v>4.3333333333333339</v>
      </c>
      <c r="AG18" s="15">
        <f t="shared" si="1"/>
        <v>6</v>
      </c>
      <c r="AH18" s="7">
        <f t="shared" si="2"/>
        <v>10</v>
      </c>
      <c r="AI18" s="7">
        <f t="shared" si="3"/>
        <v>0</v>
      </c>
      <c r="AJ18" s="7">
        <f t="shared" si="4"/>
        <v>5</v>
      </c>
      <c r="AK18" s="12">
        <f t="shared" si="5"/>
        <v>6</v>
      </c>
      <c r="AL18" s="14">
        <f t="shared" si="9"/>
        <v>27</v>
      </c>
      <c r="AM18" s="16" t="str">
        <f t="shared" si="7"/>
        <v>Barrier</v>
      </c>
      <c r="AN18" s="115" t="s">
        <v>153</v>
      </c>
      <c r="AO18" s="113">
        <v>19</v>
      </c>
      <c r="AP18" s="115" t="s">
        <v>152</v>
      </c>
    </row>
    <row r="19" spans="1:42" ht="30" x14ac:dyDescent="0.25">
      <c r="A19" s="116">
        <v>44446</v>
      </c>
      <c r="B19" s="75">
        <v>197378</v>
      </c>
      <c r="C19" s="115"/>
      <c r="D19" s="115" t="s">
        <v>125</v>
      </c>
      <c r="E19" s="76">
        <v>9</v>
      </c>
      <c r="F19" s="77">
        <v>645084.866045075</v>
      </c>
      <c r="G19" s="78">
        <v>5998822.4613156402</v>
      </c>
      <c r="H19" s="76" t="s">
        <v>96</v>
      </c>
      <c r="I19" s="76" t="s">
        <v>126</v>
      </c>
      <c r="J19" s="42"/>
      <c r="K19" s="76" t="s">
        <v>179</v>
      </c>
      <c r="L19" s="115" t="s">
        <v>112</v>
      </c>
      <c r="M19" s="115" t="s">
        <v>113</v>
      </c>
      <c r="N19" s="113">
        <v>1</v>
      </c>
      <c r="O19" s="113">
        <v>15</v>
      </c>
      <c r="P19" s="115" t="s">
        <v>114</v>
      </c>
      <c r="Q19" s="120"/>
      <c r="R19" s="115" t="s">
        <v>114</v>
      </c>
      <c r="S19" s="115" t="s">
        <v>114</v>
      </c>
      <c r="T19" s="121"/>
      <c r="U19" s="113">
        <v>2.5</v>
      </c>
      <c r="V19" s="115">
        <v>0.1</v>
      </c>
      <c r="W19" s="113">
        <v>0.6</v>
      </c>
      <c r="X19" s="115" t="s">
        <v>116</v>
      </c>
      <c r="Y19" s="113">
        <v>1</v>
      </c>
      <c r="Z19" s="113">
        <v>2.4</v>
      </c>
      <c r="AA19" s="115">
        <v>3</v>
      </c>
      <c r="AB19" s="25" t="s">
        <v>116</v>
      </c>
      <c r="AC19" s="25" t="s">
        <v>114</v>
      </c>
      <c r="AD19" s="115" t="s">
        <v>117</v>
      </c>
      <c r="AE19" s="115" t="s">
        <v>124</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t="s">
        <v>153</v>
      </c>
      <c r="AO19" s="113">
        <v>10</v>
      </c>
      <c r="AP19" s="115" t="s">
        <v>157</v>
      </c>
    </row>
    <row r="20" spans="1:42" x14ac:dyDescent="0.25">
      <c r="A20" s="116">
        <v>44451</v>
      </c>
      <c r="B20" s="75">
        <v>198066</v>
      </c>
      <c r="C20" s="115"/>
      <c r="D20" s="115" t="s">
        <v>92</v>
      </c>
      <c r="E20" s="76">
        <v>9</v>
      </c>
      <c r="F20" s="77">
        <v>640243.91479294898</v>
      </c>
      <c r="G20" s="78">
        <v>6048061.0041042296</v>
      </c>
      <c r="H20" s="115" t="s">
        <v>93</v>
      </c>
      <c r="I20" s="76" t="s">
        <v>127</v>
      </c>
      <c r="J20" s="42"/>
      <c r="K20" s="76" t="s">
        <v>180</v>
      </c>
      <c r="L20" s="115" t="s">
        <v>112</v>
      </c>
      <c r="M20" s="115" t="s">
        <v>113</v>
      </c>
      <c r="N20" s="113">
        <v>1.3</v>
      </c>
      <c r="O20" s="113">
        <v>5.5</v>
      </c>
      <c r="P20" s="115" t="s">
        <v>114</v>
      </c>
      <c r="Q20" s="120"/>
      <c r="R20" s="115" t="s">
        <v>114</v>
      </c>
      <c r="S20" s="115" t="s">
        <v>116</v>
      </c>
      <c r="T20" s="115">
        <v>95</v>
      </c>
      <c r="U20" s="115">
        <v>0.2</v>
      </c>
      <c r="V20" s="115">
        <v>0</v>
      </c>
      <c r="W20" s="115">
        <v>0.1</v>
      </c>
      <c r="X20" s="115" t="s">
        <v>114</v>
      </c>
      <c r="Y20" s="115">
        <v>0.45</v>
      </c>
      <c r="Z20" s="115">
        <v>2.77</v>
      </c>
      <c r="AA20" s="115">
        <v>0.5</v>
      </c>
      <c r="AB20" s="25" t="s">
        <v>114</v>
      </c>
      <c r="AC20" s="25" t="s">
        <v>116</v>
      </c>
      <c r="AD20" s="115" t="s">
        <v>117</v>
      </c>
      <c r="AE20" s="115" t="s">
        <v>118</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t="s">
        <v>153</v>
      </c>
      <c r="AO20" s="115">
        <v>10</v>
      </c>
      <c r="AP20" s="115" t="s">
        <v>186</v>
      </c>
    </row>
    <row r="21" spans="1:42" x14ac:dyDescent="0.25">
      <c r="A21" s="116">
        <v>44454</v>
      </c>
      <c r="B21" s="75">
        <v>123775</v>
      </c>
      <c r="C21" s="115"/>
      <c r="D21" s="115" t="s">
        <v>187</v>
      </c>
      <c r="E21" s="25">
        <v>9</v>
      </c>
      <c r="F21" s="74">
        <v>606445.49293372501</v>
      </c>
      <c r="G21" s="80">
        <v>6099725.6452470804</v>
      </c>
      <c r="H21" s="115" t="s">
        <v>128</v>
      </c>
      <c r="I21" s="115" t="s">
        <v>102</v>
      </c>
      <c r="J21" s="42"/>
      <c r="K21" s="25" t="s">
        <v>171</v>
      </c>
      <c r="L21" s="115" t="s">
        <v>112</v>
      </c>
      <c r="M21" s="115" t="s">
        <v>113</v>
      </c>
      <c r="N21" s="113">
        <v>1.22</v>
      </c>
      <c r="O21" s="113">
        <v>32</v>
      </c>
      <c r="P21" s="115" t="s">
        <v>114</v>
      </c>
      <c r="Q21" s="121"/>
      <c r="R21" s="115" t="s">
        <v>114</v>
      </c>
      <c r="S21" s="115" t="s">
        <v>114</v>
      </c>
      <c r="T21" s="121"/>
      <c r="U21" s="113">
        <v>0.3</v>
      </c>
      <c r="V21" s="115">
        <v>0</v>
      </c>
      <c r="W21" s="113">
        <v>0</v>
      </c>
      <c r="X21" s="115" t="s">
        <v>114</v>
      </c>
      <c r="Y21" s="113">
        <v>0.5</v>
      </c>
      <c r="Z21" s="113">
        <v>0.5</v>
      </c>
      <c r="AA21" s="115">
        <v>1</v>
      </c>
      <c r="AB21" s="115" t="s">
        <v>114</v>
      </c>
      <c r="AC21" s="115" t="s">
        <v>114</v>
      </c>
      <c r="AD21" s="115"/>
      <c r="AE21" s="115" t="s">
        <v>155</v>
      </c>
      <c r="AF21" s="22">
        <f t="shared" si="8"/>
        <v>0.4098360655737705</v>
      </c>
      <c r="AG21" s="15">
        <f t="shared" si="1"/>
        <v>6</v>
      </c>
      <c r="AH21" s="7">
        <f t="shared" si="2"/>
        <v>10</v>
      </c>
      <c r="AI21" s="7">
        <f t="shared" si="3"/>
        <v>0</v>
      </c>
      <c r="AJ21" s="7">
        <f t="shared" si="4"/>
        <v>0</v>
      </c>
      <c r="AK21" s="12">
        <f t="shared" si="5"/>
        <v>0</v>
      </c>
      <c r="AL21" s="14">
        <f t="shared" si="9"/>
        <v>16</v>
      </c>
      <c r="AM21" s="16" t="str">
        <f t="shared" si="7"/>
        <v>Potential</v>
      </c>
      <c r="AN21" s="115" t="s">
        <v>188</v>
      </c>
      <c r="AO21" s="113">
        <v>3</v>
      </c>
      <c r="AP21" s="115" t="s">
        <v>156</v>
      </c>
    </row>
    <row r="22" spans="1:42" ht="30" x14ac:dyDescent="0.25">
      <c r="A22" s="116">
        <v>44442</v>
      </c>
      <c r="B22" s="75">
        <v>198016</v>
      </c>
      <c r="C22" s="115"/>
      <c r="D22" s="115" t="s">
        <v>95</v>
      </c>
      <c r="E22" s="76">
        <v>9</v>
      </c>
      <c r="F22" s="77">
        <v>608138.08885820396</v>
      </c>
      <c r="G22" s="78">
        <v>6020911.1990954401</v>
      </c>
      <c r="H22" s="76" t="s">
        <v>141</v>
      </c>
      <c r="I22" s="76" t="s">
        <v>161</v>
      </c>
      <c r="J22" s="79">
        <v>53</v>
      </c>
      <c r="K22" s="76" t="s">
        <v>181</v>
      </c>
      <c r="L22" s="115" t="s">
        <v>112</v>
      </c>
      <c r="M22" s="115" t="s">
        <v>113</v>
      </c>
      <c r="N22" s="113">
        <v>1.2</v>
      </c>
      <c r="O22" s="113">
        <v>25</v>
      </c>
      <c r="P22" s="115" t="s">
        <v>114</v>
      </c>
      <c r="Q22" s="113"/>
      <c r="R22" s="115" t="s">
        <v>114</v>
      </c>
      <c r="S22" s="115" t="s">
        <v>114</v>
      </c>
      <c r="T22" s="113"/>
      <c r="U22" s="113">
        <v>4.5</v>
      </c>
      <c r="V22" s="115">
        <v>0.19</v>
      </c>
      <c r="W22" s="113"/>
      <c r="X22" s="115" t="s">
        <v>116</v>
      </c>
      <c r="Y22" s="113">
        <v>5</v>
      </c>
      <c r="Z22" s="113">
        <v>1.3</v>
      </c>
      <c r="AA22" s="115">
        <v>10</v>
      </c>
      <c r="AB22" s="25" t="s">
        <v>114</v>
      </c>
      <c r="AC22" s="25" t="s">
        <v>116</v>
      </c>
      <c r="AD22" s="115" t="s">
        <v>117</v>
      </c>
      <c r="AE22" s="115" t="s">
        <v>124</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t="s">
        <v>188</v>
      </c>
      <c r="AO22" s="113">
        <v>3</v>
      </c>
      <c r="AP22" s="115" t="s">
        <v>162</v>
      </c>
    </row>
    <row r="23" spans="1:42" x14ac:dyDescent="0.25">
      <c r="A23" s="116">
        <v>44452</v>
      </c>
      <c r="B23" s="75">
        <v>123544</v>
      </c>
      <c r="C23" s="115"/>
      <c r="D23" s="115" t="s">
        <v>92</v>
      </c>
      <c r="E23" s="76">
        <v>9</v>
      </c>
      <c r="F23" s="77">
        <v>628286.71795069706</v>
      </c>
      <c r="G23" s="78">
        <v>6060648.1340365103</v>
      </c>
      <c r="H23" s="76" t="s">
        <v>103</v>
      </c>
      <c r="I23" s="76" t="s">
        <v>127</v>
      </c>
      <c r="J23" s="79"/>
      <c r="K23" s="76" t="s">
        <v>180</v>
      </c>
      <c r="L23" s="115" t="s">
        <v>112</v>
      </c>
      <c r="M23" s="115" t="s">
        <v>113</v>
      </c>
      <c r="N23" s="113">
        <v>1.5</v>
      </c>
      <c r="O23" s="113">
        <v>14</v>
      </c>
      <c r="P23" s="115" t="s">
        <v>114</v>
      </c>
      <c r="Q23" s="121"/>
      <c r="R23" s="115" t="s">
        <v>114</v>
      </c>
      <c r="S23" s="115" t="s">
        <v>114</v>
      </c>
      <c r="T23" s="121"/>
      <c r="U23" s="113">
        <v>1.5</v>
      </c>
      <c r="V23" s="115">
        <v>0</v>
      </c>
      <c r="W23" s="113">
        <v>0</v>
      </c>
      <c r="X23" s="115" t="s">
        <v>114</v>
      </c>
      <c r="Y23" s="113">
        <v>18.5</v>
      </c>
      <c r="Z23" s="113">
        <v>2.7</v>
      </c>
      <c r="AA23" s="115">
        <v>1</v>
      </c>
      <c r="AB23" s="25" t="s">
        <v>114</v>
      </c>
      <c r="AC23" s="25" t="s">
        <v>114</v>
      </c>
      <c r="AD23" s="115" t="s">
        <v>117</v>
      </c>
      <c r="AE23" s="115" t="s">
        <v>124</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t="s">
        <v>153</v>
      </c>
      <c r="AO23" s="113">
        <v>10</v>
      </c>
      <c r="AP23" s="115" t="s">
        <v>144</v>
      </c>
    </row>
    <row r="24" spans="1:42" x14ac:dyDescent="0.25">
      <c r="A24" s="116">
        <v>44439</v>
      </c>
      <c r="B24" s="75">
        <v>197912</v>
      </c>
      <c r="C24" s="115"/>
      <c r="D24" s="115" t="s">
        <v>92</v>
      </c>
      <c r="E24" s="76">
        <v>9</v>
      </c>
      <c r="F24" s="77">
        <v>670963.04583718895</v>
      </c>
      <c r="G24" s="78">
        <v>6046221.1978087602</v>
      </c>
      <c r="H24" s="76" t="s">
        <v>137</v>
      </c>
      <c r="I24" s="76" t="s">
        <v>138</v>
      </c>
      <c r="J24" s="79"/>
      <c r="K24" s="76" t="s">
        <v>180</v>
      </c>
      <c r="L24" s="115" t="s">
        <v>139</v>
      </c>
      <c r="M24" s="115" t="s">
        <v>140</v>
      </c>
      <c r="N24" s="113">
        <v>12</v>
      </c>
      <c r="O24" s="113">
        <v>7</v>
      </c>
      <c r="P24" s="120"/>
      <c r="Q24" s="121"/>
      <c r="R24" s="120"/>
      <c r="S24" s="120"/>
      <c r="T24" s="121"/>
      <c r="U24" s="121"/>
      <c r="V24" s="120"/>
      <c r="W24" s="121"/>
      <c r="X24" s="120"/>
      <c r="Y24" s="121"/>
      <c r="Z24" s="121"/>
      <c r="AA24" s="120"/>
      <c r="AB24" s="25"/>
      <c r="AC24" s="25"/>
      <c r="AD24" s="120"/>
      <c r="AE24" s="120"/>
      <c r="AF24" s="22">
        <f t="shared" si="8"/>
        <v>0</v>
      </c>
      <c r="AG24" s="15">
        <f t="shared" si="1"/>
        <v>0</v>
      </c>
      <c r="AH24" s="7">
        <f t="shared" si="2"/>
        <v>0</v>
      </c>
      <c r="AI24" s="7">
        <f t="shared" si="3"/>
        <v>0</v>
      </c>
      <c r="AJ24" s="7">
        <f t="shared" si="4"/>
        <v>0</v>
      </c>
      <c r="AK24" s="12">
        <f t="shared" si="5"/>
        <v>0</v>
      </c>
      <c r="AL24" s="14">
        <f t="shared" si="9"/>
        <v>0</v>
      </c>
      <c r="AM24" s="16" t="str">
        <f t="shared" si="7"/>
        <v>Passable</v>
      </c>
      <c r="AN24" s="120"/>
      <c r="AO24" s="121"/>
      <c r="AP24" s="115" t="s">
        <v>185</v>
      </c>
    </row>
    <row r="25" spans="1:42" ht="30" x14ac:dyDescent="0.25">
      <c r="A25" s="116">
        <v>44441</v>
      </c>
      <c r="B25" s="75">
        <v>198008</v>
      </c>
      <c r="C25" s="115"/>
      <c r="D25" s="115" t="s">
        <v>95</v>
      </c>
      <c r="E25" s="76">
        <v>9</v>
      </c>
      <c r="F25" s="77">
        <v>606426.18000000005</v>
      </c>
      <c r="G25" s="78">
        <v>5986782</v>
      </c>
      <c r="H25" s="76" t="s">
        <v>130</v>
      </c>
      <c r="I25" s="76" t="s">
        <v>123</v>
      </c>
      <c r="J25" s="79"/>
      <c r="K25" s="76" t="s">
        <v>182</v>
      </c>
      <c r="L25" s="115" t="s">
        <v>112</v>
      </c>
      <c r="M25" s="115" t="s">
        <v>113</v>
      </c>
      <c r="N25" s="113">
        <v>0.9</v>
      </c>
      <c r="O25" s="113">
        <v>11</v>
      </c>
      <c r="P25" s="115" t="s">
        <v>114</v>
      </c>
      <c r="Q25" s="113"/>
      <c r="R25" s="115" t="s">
        <v>114</v>
      </c>
      <c r="S25" s="115" t="s">
        <v>114</v>
      </c>
      <c r="T25" s="113"/>
      <c r="U25" s="113">
        <v>0.2</v>
      </c>
      <c r="V25" s="115">
        <v>0.18</v>
      </c>
      <c r="W25" s="113">
        <v>0.6</v>
      </c>
      <c r="X25" s="115" t="s">
        <v>116</v>
      </c>
      <c r="Y25" s="113">
        <v>6</v>
      </c>
      <c r="Z25" s="113">
        <v>1.8</v>
      </c>
      <c r="AA25" s="115">
        <v>7</v>
      </c>
      <c r="AB25" s="25" t="s">
        <v>114</v>
      </c>
      <c r="AC25" s="25" t="s">
        <v>114</v>
      </c>
      <c r="AD25" s="115" t="s">
        <v>117</v>
      </c>
      <c r="AE25" s="115" t="s">
        <v>124</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t="s">
        <v>188</v>
      </c>
      <c r="AO25" s="113">
        <v>3</v>
      </c>
      <c r="AP25" s="115" t="s">
        <v>163</v>
      </c>
    </row>
    <row r="26" spans="1:42" ht="30" x14ac:dyDescent="0.25">
      <c r="A26" s="116">
        <v>44441</v>
      </c>
      <c r="B26" s="75">
        <v>198000</v>
      </c>
      <c r="C26" s="115"/>
      <c r="D26" s="115" t="s">
        <v>158</v>
      </c>
      <c r="E26" s="76">
        <v>9</v>
      </c>
      <c r="F26" s="77">
        <v>605511.01920977596</v>
      </c>
      <c r="G26" s="78">
        <v>5992667.03867264</v>
      </c>
      <c r="H26" s="76" t="s">
        <v>131</v>
      </c>
      <c r="I26" s="76" t="s">
        <v>164</v>
      </c>
      <c r="J26" s="79"/>
      <c r="K26" s="76" t="s">
        <v>172</v>
      </c>
      <c r="L26" s="115" t="s">
        <v>112</v>
      </c>
      <c r="M26" s="115" t="s">
        <v>146</v>
      </c>
      <c r="N26" s="113">
        <v>3.9</v>
      </c>
      <c r="O26" s="113">
        <v>16</v>
      </c>
      <c r="P26" s="115" t="s">
        <v>114</v>
      </c>
      <c r="Q26" s="113"/>
      <c r="R26" s="115" t="s">
        <v>114</v>
      </c>
      <c r="S26" s="115" t="s">
        <v>114</v>
      </c>
      <c r="T26" s="113"/>
      <c r="U26" s="113">
        <v>0.8</v>
      </c>
      <c r="V26" s="115">
        <v>0.05</v>
      </c>
      <c r="W26" s="113">
        <v>0.8</v>
      </c>
      <c r="X26" s="115" t="s">
        <v>114</v>
      </c>
      <c r="Y26" s="113">
        <v>0.52</v>
      </c>
      <c r="Z26" s="113">
        <v>9</v>
      </c>
      <c r="AA26" s="115">
        <v>2</v>
      </c>
      <c r="AB26" s="25" t="s">
        <v>114</v>
      </c>
      <c r="AC26" s="25" t="s">
        <v>114</v>
      </c>
      <c r="AD26" s="115" t="s">
        <v>117</v>
      </c>
      <c r="AE26" s="115" t="s">
        <v>118</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t="s">
        <v>153</v>
      </c>
      <c r="AO26" s="113">
        <v>14</v>
      </c>
      <c r="AP26" s="115" t="s">
        <v>165</v>
      </c>
    </row>
    <row r="27" spans="1:42" x14ac:dyDescent="0.25">
      <c r="A27" s="116">
        <v>44439</v>
      </c>
      <c r="B27" s="75">
        <v>197975</v>
      </c>
      <c r="C27" s="115"/>
      <c r="D27" s="115" t="s">
        <v>95</v>
      </c>
      <c r="E27" s="76">
        <v>9</v>
      </c>
      <c r="F27" s="77">
        <v>680832.00003985001</v>
      </c>
      <c r="G27" s="78">
        <v>6040044.9625181099</v>
      </c>
      <c r="H27" s="76" t="s">
        <v>132</v>
      </c>
      <c r="I27" s="76" t="s">
        <v>133</v>
      </c>
      <c r="J27" s="79"/>
      <c r="K27" s="76" t="s">
        <v>180</v>
      </c>
      <c r="L27" s="115" t="s">
        <v>112</v>
      </c>
      <c r="M27" s="115" t="s">
        <v>113</v>
      </c>
      <c r="N27" s="113">
        <v>3</v>
      </c>
      <c r="O27" s="113">
        <v>10</v>
      </c>
      <c r="P27" s="115" t="s">
        <v>114</v>
      </c>
      <c r="Q27" s="113"/>
      <c r="R27" s="115" t="s">
        <v>114</v>
      </c>
      <c r="S27" s="115" t="s">
        <v>114</v>
      </c>
      <c r="T27" s="113"/>
      <c r="U27" s="113">
        <v>0.5</v>
      </c>
      <c r="V27" s="115">
        <v>0.3</v>
      </c>
      <c r="W27" s="113">
        <v>1.45</v>
      </c>
      <c r="X27" s="115" t="s">
        <v>114</v>
      </c>
      <c r="Y27" s="113">
        <v>4</v>
      </c>
      <c r="Z27" s="113">
        <v>6.5</v>
      </c>
      <c r="AA27" s="115">
        <v>3</v>
      </c>
      <c r="AB27" s="115" t="s">
        <v>114</v>
      </c>
      <c r="AC27" s="115"/>
      <c r="AD27" s="115" t="s">
        <v>117</v>
      </c>
      <c r="AE27" s="115" t="s">
        <v>124</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t="s">
        <v>153</v>
      </c>
      <c r="AO27" s="113">
        <v>11.5</v>
      </c>
      <c r="AP27" s="115" t="s">
        <v>166</v>
      </c>
    </row>
    <row r="28" spans="1:42" x14ac:dyDescent="0.25">
      <c r="A28" s="116">
        <v>44439</v>
      </c>
      <c r="B28" s="75">
        <v>197976</v>
      </c>
      <c r="C28" s="115"/>
      <c r="D28" s="115" t="s">
        <v>95</v>
      </c>
      <c r="E28" s="76">
        <v>9</v>
      </c>
      <c r="F28" s="77">
        <v>680644.76798266894</v>
      </c>
      <c r="G28" s="78">
        <v>6039755.5547551401</v>
      </c>
      <c r="H28" s="76" t="s">
        <v>132</v>
      </c>
      <c r="I28" s="76" t="s">
        <v>102</v>
      </c>
      <c r="J28" s="79"/>
      <c r="K28" s="76" t="s">
        <v>173</v>
      </c>
      <c r="L28" s="115" t="s">
        <v>112</v>
      </c>
      <c r="M28" s="115" t="s">
        <v>146</v>
      </c>
      <c r="N28" s="113">
        <v>3.5</v>
      </c>
      <c r="O28" s="113">
        <v>23</v>
      </c>
      <c r="P28" s="115" t="s">
        <v>114</v>
      </c>
      <c r="Q28" s="113"/>
      <c r="R28" s="115" t="s">
        <v>114</v>
      </c>
      <c r="S28" s="115" t="s">
        <v>116</v>
      </c>
      <c r="T28" s="113">
        <v>50</v>
      </c>
      <c r="U28" s="113">
        <v>3</v>
      </c>
      <c r="V28" s="115"/>
      <c r="W28" s="113">
        <v>0.55000000000000004</v>
      </c>
      <c r="X28" s="115" t="s">
        <v>114</v>
      </c>
      <c r="Y28" s="113">
        <v>2</v>
      </c>
      <c r="Z28" s="113">
        <v>7.5</v>
      </c>
      <c r="AA28" s="115">
        <v>4</v>
      </c>
      <c r="AB28" s="115" t="s">
        <v>114</v>
      </c>
      <c r="AC28" s="115" t="s">
        <v>116</v>
      </c>
      <c r="AD28" s="115" t="s">
        <v>117</v>
      </c>
      <c r="AE28" s="115" t="s">
        <v>118</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t="s">
        <v>153</v>
      </c>
      <c r="AO28" s="113">
        <v>12.5</v>
      </c>
      <c r="AP28" s="115" t="s">
        <v>167</v>
      </c>
    </row>
    <row r="29" spans="1:42" ht="30" x14ac:dyDescent="0.25">
      <c r="A29" s="116">
        <v>44438</v>
      </c>
      <c r="B29" s="111">
        <v>197909</v>
      </c>
      <c r="C29" s="115"/>
      <c r="D29" s="115" t="s">
        <v>134</v>
      </c>
      <c r="E29" s="76">
        <v>9</v>
      </c>
      <c r="F29" s="77">
        <v>687557</v>
      </c>
      <c r="G29" s="78">
        <v>6020572</v>
      </c>
      <c r="H29" s="76" t="s">
        <v>135</v>
      </c>
      <c r="I29" s="76" t="s">
        <v>136</v>
      </c>
      <c r="J29" s="79"/>
      <c r="K29" s="76" t="s">
        <v>183</v>
      </c>
      <c r="L29" s="115" t="s">
        <v>112</v>
      </c>
      <c r="M29" s="115" t="s">
        <v>113</v>
      </c>
      <c r="N29" s="113">
        <v>0.6</v>
      </c>
      <c r="O29" s="113">
        <v>16</v>
      </c>
      <c r="P29" s="115" t="s">
        <v>114</v>
      </c>
      <c r="Q29" s="121"/>
      <c r="R29" s="115" t="s">
        <v>114</v>
      </c>
      <c r="S29" s="115" t="s">
        <v>114</v>
      </c>
      <c r="T29" s="121"/>
      <c r="U29" s="113">
        <v>2.5</v>
      </c>
      <c r="V29" s="115">
        <v>0</v>
      </c>
      <c r="W29" s="113">
        <v>0.65</v>
      </c>
      <c r="X29" s="115" t="s">
        <v>116</v>
      </c>
      <c r="Y29" s="113">
        <v>3</v>
      </c>
      <c r="Z29" s="113">
        <v>0.9</v>
      </c>
      <c r="AA29" s="115">
        <v>4</v>
      </c>
      <c r="AB29" s="115" t="s">
        <v>116</v>
      </c>
      <c r="AC29" s="115" t="s">
        <v>114</v>
      </c>
      <c r="AD29" s="115" t="s">
        <v>117</v>
      </c>
      <c r="AE29" s="115" t="s">
        <v>124</v>
      </c>
      <c r="AF29" s="22">
        <f t="shared" si="8"/>
        <v>1.5</v>
      </c>
      <c r="AG29" s="15">
        <f t="shared" si="1"/>
        <v>3</v>
      </c>
      <c r="AH29" s="7">
        <f t="shared" si="2"/>
        <v>10</v>
      </c>
      <c r="AI29" s="7">
        <f t="shared" si="3"/>
        <v>0</v>
      </c>
      <c r="AJ29" s="7">
        <f t="shared" si="4"/>
        <v>10</v>
      </c>
      <c r="AK29" s="12">
        <f t="shared" si="5"/>
        <v>6</v>
      </c>
      <c r="AL29" s="14">
        <f t="shared" si="9"/>
        <v>29</v>
      </c>
      <c r="AM29" s="16" t="str">
        <f t="shared" si="7"/>
        <v>Barrier</v>
      </c>
      <c r="AN29" s="115" t="s">
        <v>188</v>
      </c>
      <c r="AO29" s="113">
        <v>3</v>
      </c>
      <c r="AP29" s="115" t="s">
        <v>169</v>
      </c>
    </row>
    <row r="30" spans="1:42" ht="30" x14ac:dyDescent="0.25">
      <c r="A30" s="116">
        <v>44452</v>
      </c>
      <c r="B30" s="75">
        <v>197960</v>
      </c>
      <c r="C30" s="115"/>
      <c r="D30" s="115" t="s">
        <v>134</v>
      </c>
      <c r="E30" s="76">
        <v>9</v>
      </c>
      <c r="F30" s="77">
        <v>605785.55893804296</v>
      </c>
      <c r="G30" s="78">
        <v>6099883.8271172596</v>
      </c>
      <c r="H30" s="76" t="s">
        <v>129</v>
      </c>
      <c r="I30" s="76" t="s">
        <v>195</v>
      </c>
      <c r="J30" s="79"/>
      <c r="K30" s="76" t="s">
        <v>184</v>
      </c>
      <c r="L30" s="115" t="s">
        <v>112</v>
      </c>
      <c r="M30" s="115" t="s">
        <v>113</v>
      </c>
      <c r="N30" s="113">
        <v>3.4</v>
      </c>
      <c r="O30" s="113">
        <v>24</v>
      </c>
      <c r="P30" s="115" t="s">
        <v>114</v>
      </c>
      <c r="Q30" s="113"/>
      <c r="R30" s="115" t="s">
        <v>114</v>
      </c>
      <c r="S30" s="115" t="s">
        <v>114</v>
      </c>
      <c r="T30" s="113"/>
      <c r="U30" s="113">
        <v>1.5</v>
      </c>
      <c r="V30" s="115">
        <v>0.65</v>
      </c>
      <c r="W30" s="113">
        <v>3</v>
      </c>
      <c r="X30" s="115" t="s">
        <v>114</v>
      </c>
      <c r="Y30" s="113">
        <v>2.5</v>
      </c>
      <c r="Z30" s="113">
        <v>18</v>
      </c>
      <c r="AA30" s="115">
        <v>2.8</v>
      </c>
      <c r="AB30" s="25" t="s">
        <v>116</v>
      </c>
      <c r="AC30" s="25" t="s">
        <v>114</v>
      </c>
      <c r="AD30" s="115" t="s">
        <v>117</v>
      </c>
      <c r="AE30" s="115" t="s">
        <v>118</v>
      </c>
      <c r="AF30" s="22">
        <f t="shared" si="8"/>
        <v>5.2941176470588234</v>
      </c>
      <c r="AG30" s="15">
        <f t="shared" si="1"/>
        <v>3</v>
      </c>
      <c r="AH30" s="7">
        <f t="shared" si="2"/>
        <v>10</v>
      </c>
      <c r="AI30" s="7">
        <f t="shared" si="3"/>
        <v>10</v>
      </c>
      <c r="AJ30" s="7">
        <f t="shared" si="4"/>
        <v>5</v>
      </c>
      <c r="AK30" s="12">
        <f t="shared" si="5"/>
        <v>6</v>
      </c>
      <c r="AL30" s="14">
        <f t="shared" si="9"/>
        <v>34</v>
      </c>
      <c r="AM30" s="16" t="str">
        <f t="shared" si="7"/>
        <v>Barrier</v>
      </c>
      <c r="AN30" s="115" t="s">
        <v>153</v>
      </c>
      <c r="AO30" s="113">
        <v>23</v>
      </c>
      <c r="AP30" s="115" t="s">
        <v>168</v>
      </c>
    </row>
    <row r="31" spans="1:42" ht="30" x14ac:dyDescent="0.25">
      <c r="A31" s="116">
        <v>44444</v>
      </c>
      <c r="B31" s="75">
        <v>198090</v>
      </c>
      <c r="C31" s="115"/>
      <c r="D31" s="115" t="s">
        <v>95</v>
      </c>
      <c r="E31" s="76">
        <v>9</v>
      </c>
      <c r="F31" s="77">
        <v>673235</v>
      </c>
      <c r="G31" s="78">
        <v>6043218</v>
      </c>
      <c r="H31" s="76" t="s">
        <v>111</v>
      </c>
      <c r="I31" s="76" t="s">
        <v>195</v>
      </c>
      <c r="J31" s="79"/>
      <c r="K31" s="76" t="s">
        <v>184</v>
      </c>
      <c r="L31" s="115" t="s">
        <v>112</v>
      </c>
      <c r="M31" s="115" t="s">
        <v>113</v>
      </c>
      <c r="N31" s="113">
        <v>0.1</v>
      </c>
      <c r="O31" s="113">
        <v>15</v>
      </c>
      <c r="P31" s="115" t="s">
        <v>114</v>
      </c>
      <c r="Q31" s="121"/>
      <c r="R31" s="115" t="s">
        <v>114</v>
      </c>
      <c r="S31" s="115" t="s">
        <v>114</v>
      </c>
      <c r="T31" s="121"/>
      <c r="U31" s="113">
        <v>2</v>
      </c>
      <c r="V31" s="115">
        <v>0</v>
      </c>
      <c r="W31" s="113">
        <v>0</v>
      </c>
      <c r="X31" s="115" t="s">
        <v>114</v>
      </c>
      <c r="Y31" s="113">
        <v>3</v>
      </c>
      <c r="Z31" s="113">
        <v>5</v>
      </c>
      <c r="AA31" s="115">
        <v>1</v>
      </c>
      <c r="AB31" s="115" t="s">
        <v>114</v>
      </c>
      <c r="AC31" s="115" t="s">
        <v>114</v>
      </c>
      <c r="AD31" s="115" t="s">
        <v>117</v>
      </c>
      <c r="AE31" s="115" t="s">
        <v>118</v>
      </c>
      <c r="AF31" s="22">
        <f t="shared" si="8"/>
        <v>50</v>
      </c>
      <c r="AG31" s="15">
        <f t="shared" si="1"/>
        <v>3</v>
      </c>
      <c r="AH31" s="7">
        <f t="shared" si="2"/>
        <v>10</v>
      </c>
      <c r="AI31" s="7">
        <f t="shared" si="3"/>
        <v>0</v>
      </c>
      <c r="AJ31" s="7">
        <f t="shared" si="4"/>
        <v>10</v>
      </c>
      <c r="AK31" s="12">
        <f t="shared" si="5"/>
        <v>6</v>
      </c>
      <c r="AL31" s="14">
        <f t="shared" si="9"/>
        <v>29</v>
      </c>
      <c r="AM31" s="16" t="str">
        <f t="shared" si="7"/>
        <v>Barrier</v>
      </c>
      <c r="AN31" s="115" t="s">
        <v>153</v>
      </c>
      <c r="AO31" s="113">
        <v>10</v>
      </c>
      <c r="AP31" s="115" t="s">
        <v>194</v>
      </c>
    </row>
    <row r="32" spans="1:42" ht="30" x14ac:dyDescent="0.25">
      <c r="A32" s="116">
        <v>44449</v>
      </c>
      <c r="B32" s="75">
        <v>197662</v>
      </c>
      <c r="C32" s="115"/>
      <c r="D32" s="115" t="s">
        <v>92</v>
      </c>
      <c r="E32" s="76">
        <v>9</v>
      </c>
      <c r="F32" s="77">
        <v>672404.70140713803</v>
      </c>
      <c r="G32" s="78">
        <v>6044146.31063178</v>
      </c>
      <c r="H32" s="76" t="s">
        <v>191</v>
      </c>
      <c r="I32" s="76" t="s">
        <v>102</v>
      </c>
      <c r="J32" s="79"/>
      <c r="K32" s="76" t="s">
        <v>192</v>
      </c>
      <c r="L32" s="115" t="s">
        <v>112</v>
      </c>
      <c r="M32" s="115" t="s">
        <v>113</v>
      </c>
      <c r="N32" s="113">
        <v>4.2</v>
      </c>
      <c r="O32" s="113">
        <v>24</v>
      </c>
      <c r="P32" s="115" t="s">
        <v>114</v>
      </c>
      <c r="Q32" s="121"/>
      <c r="R32" s="115" t="s">
        <v>114</v>
      </c>
      <c r="S32" s="115" t="s">
        <v>114</v>
      </c>
      <c r="T32" s="121"/>
      <c r="U32" s="113">
        <v>1</v>
      </c>
      <c r="V32" s="115">
        <v>0.2</v>
      </c>
      <c r="W32" s="113">
        <v>1</v>
      </c>
      <c r="X32" s="115" t="s">
        <v>114</v>
      </c>
      <c r="Y32" s="113">
        <v>2</v>
      </c>
      <c r="Z32" s="113">
        <v>12.5</v>
      </c>
      <c r="AA32" s="115">
        <v>1.5</v>
      </c>
      <c r="AB32" s="115" t="s">
        <v>114</v>
      </c>
      <c r="AC32" s="115" t="s">
        <v>116</v>
      </c>
      <c r="AD32" s="115" t="s">
        <v>117</v>
      </c>
      <c r="AE32" s="115" t="s">
        <v>118</v>
      </c>
      <c r="AF32" s="22">
        <f t="shared" si="8"/>
        <v>2.9761904761904763</v>
      </c>
      <c r="AG32" s="15">
        <f t="shared" si="1"/>
        <v>3</v>
      </c>
      <c r="AH32" s="7">
        <f t="shared" si="2"/>
        <v>10</v>
      </c>
      <c r="AI32" s="7">
        <f t="shared" si="3"/>
        <v>5</v>
      </c>
      <c r="AJ32" s="7">
        <f t="shared" si="4"/>
        <v>5</v>
      </c>
      <c r="AK32" s="12">
        <f t="shared" si="5"/>
        <v>6</v>
      </c>
      <c r="AL32" s="14">
        <f t="shared" si="9"/>
        <v>29</v>
      </c>
      <c r="AM32" s="16" t="str">
        <f t="shared" si="7"/>
        <v>Barrier</v>
      </c>
      <c r="AN32" s="115" t="s">
        <v>153</v>
      </c>
      <c r="AO32" s="113">
        <v>16.5</v>
      </c>
      <c r="AP32" s="115" t="s">
        <v>193</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C3T12QlJrNptoCULbn8g2b0O0ZIp90BqYFfrgfRtFulKj/eIFRhB3elKaZNSfj1zGjHTBOYSjRZBxOgCjJ7+Uw==" saltValue="a/IiQlWIf5zHOAhr5g65r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M33"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N33"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2022-04-06T16:35:48Z</dcterms:modified>
</cp:coreProperties>
</file>