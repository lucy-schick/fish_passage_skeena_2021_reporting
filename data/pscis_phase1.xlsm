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05E06C6B-C6E8-41C2-9479-88ACD716B67E}"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0" i="2"/>
  <c r="AM168" i="2"/>
  <c r="AM167" i="2"/>
  <c r="AM166" i="2"/>
  <c r="AM165" i="2"/>
  <c r="AM164" i="2"/>
  <c r="AM163" i="2"/>
  <c r="AM162" i="2"/>
  <c r="AM161" i="2"/>
  <c r="AM160" i="2"/>
  <c r="AM159" i="2"/>
  <c r="AM158" i="2"/>
  <c r="AM157" i="2"/>
  <c r="AM156" i="2"/>
  <c r="AM155"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69" i="2"/>
  <c r="AL61" i="2"/>
  <c r="AL53" i="2"/>
  <c r="AL45" i="2"/>
  <c r="AL37" i="2"/>
  <c r="AL21" i="2"/>
  <c r="AM21" i="2" s="1"/>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M153" i="2" s="1"/>
  <c r="AL149" i="2"/>
  <c r="AL145" i="2"/>
  <c r="AL141" i="2"/>
  <c r="AL137" i="2"/>
  <c r="AL133" i="2"/>
  <c r="AL129" i="2"/>
  <c r="AL125" i="2"/>
  <c r="AL121" i="2"/>
  <c r="AL117" i="2"/>
  <c r="AL113" i="2"/>
  <c r="AL109" i="2"/>
  <c r="AL105" i="2"/>
  <c r="AL101" i="2"/>
  <c r="AL97" i="2"/>
  <c r="AL93" i="2"/>
  <c r="AL83" i="2"/>
  <c r="AL158"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M171" i="2" s="1"/>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9" i="2"/>
  <c r="AM9" i="2" s="1"/>
  <c r="AL8" i="2"/>
  <c r="AM8"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9" i="2" l="1"/>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<sst xmlns="http://schemas.openxmlformats.org/spreadsheetml/2006/main" count="568" uniqueCount="206">
  <si>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</si>
  <si>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</si>
  <si>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</si>
  <si>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</si>
  <si>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</si>
  <si>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</si>
  <si>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</si>
  <si>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</si>
  <si>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</si>
  <si>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</si>
  <si>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</si>
  <si>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</si>
  <si>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</si>
  <si>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</si>
  <si>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</si>
  <si>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</si>
  <si>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</si>
  <si>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</si>
  <si>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</si>
  <si>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</si>
  <si>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</si>
  <si>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</si>
  <si>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</si>
  <si>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</si>
  <si>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</si>
  <si>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</si>
  <si>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</si>
  <si>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</si>
  <si>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</si>
  <si>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</si>
  <si>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</si>
  <si>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</si>
  <si>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</si>
  <si>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</si>
  <si>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</si>
  <si>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</si>
  <si>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</si>
  <si>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</si>
  <si>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</si>
  <si>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</si>
  <si>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</si>
  <si>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</si>
  <si>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</si>
  <si>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</si>
  <si>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</si>
  <si>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</si>
  <si>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</si>
  <si>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</si>
  <si>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</si>
  <si>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</si>
  <si>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</si>
  <si>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</si>
  <si>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</si>
  <si>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</si>
  <si>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</si>
  <si>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</si>
  <si>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</si>
  <si>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</si>
  <si>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</si>
  <si>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</si>
  <si>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</si>
  <si>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</si>
  <si>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</si>
  <si>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</si>
  <si>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</si>
  <si>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</si>
  <si>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</si>
  <si>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</si>
  <si>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</si>
  <si>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</si>
  <si>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</si>
  <si>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</si>
  <si>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</si>
  <si>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</si>
  <si>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</si>
  <si>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</si>
  <si>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</si>
  <si>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</si>
  <si>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</si>
  <si>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</si>
  <si>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</si>
  <si>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</si>
  <si>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</si>
  <si>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</si>
  <si>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</si>
  <si>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</si>
  <si>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</si>
  <si>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</si>
  <si>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</si>
  <si>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</si>
  <si>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</si>
  <si>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</si>
  <si>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</si>
  <si>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</si>
  <si>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</si>
  <si>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CN Rail</t>
  </si>
  <si>
    <t>Open Bottom Structure</t>
  </si>
  <si>
    <t>Bridge</t>
  </si>
  <si>
    <t>AI KP</t>
  </si>
  <si>
    <t>Private</t>
  </si>
  <si>
    <t>Closed Bottom Structure</t>
  </si>
  <si>
    <t>Round Culvert</t>
  </si>
  <si>
    <t>No</t>
  </si>
  <si>
    <t>Deep Fill</t>
  </si>
  <si>
    <t>Low</t>
  </si>
  <si>
    <t>Dry, small channel.</t>
  </si>
  <si>
    <t>Yes</t>
  </si>
  <si>
    <t>Dry, small stream.  Runs in ditch beside the road.</t>
  </si>
  <si>
    <t>Crow Creek Road</t>
  </si>
  <si>
    <t>Rose Lake Cuttoff Road</t>
  </si>
  <si>
    <t>Dry with dredged channel.  Double pipe (0.9 x 0.9).</t>
  </si>
  <si>
    <t>Tributary to Bulkley River</t>
  </si>
  <si>
    <t>Dry channel.  Two pipes (0.5 x 0.5).  FISS site downstream.</t>
  </si>
  <si>
    <t xml:space="preserve">Dry channel at time of survey.  Runs in ditch on low side of road.  Recently replaces.  </t>
  </si>
  <si>
    <t>Tributary to Maxan Creek</t>
  </si>
  <si>
    <t>Maxan Creek FSR</t>
  </si>
  <si>
    <t>Dry channel at time of survey. Very small stream.</t>
  </si>
  <si>
    <t>Medium</t>
  </si>
  <si>
    <t>Habitat value is low to medium.  Large beaver influenced lake upstream with two dams ~1.5m high at 10m and 30m upstream. Inlet blocked.  Water at inlet is level with the top of the culvert.  At 4m downstream is a 1m high beaver dam.</t>
  </si>
  <si>
    <t>Spur 30</t>
  </si>
  <si>
    <t>Other</t>
  </si>
  <si>
    <t>Ford</t>
  </si>
  <si>
    <t>Foxy Creek</t>
  </si>
  <si>
    <t>unnamed</t>
  </si>
  <si>
    <t>Bridge has collapsed and is impediment to upstream fish passage.  Habitat confirmation conducted.</t>
  </si>
  <si>
    <t>Johnny David Creek</t>
  </si>
  <si>
    <t>Robert Hatch Creek</t>
  </si>
  <si>
    <t>Ford. Area is extensively impacted by cattle trampling of banks.</t>
  </si>
  <si>
    <t>Ford.  Road deactivated and grown in.  Not ATV accessible beyond this point.</t>
  </si>
  <si>
    <t>Tributary to Gosnell Creek</t>
  </si>
  <si>
    <t>Crystal Creek FSR</t>
  </si>
  <si>
    <t>Oval Culvert</t>
  </si>
  <si>
    <t>Old Crystal Ck FSR.  Flat bottom structure.  Good flow with abundant gravels and LWD.  Nice stream.  Appears passable to all life stages. Culvert slope was estimated with clinometer so may be slightly off.  If slope was entered as 1% this crossing would rank as a "potential" barrier.</t>
  </si>
  <si>
    <t>Dry channel at time of survey.  Should this bridge be removed and girders salvaged?</t>
  </si>
  <si>
    <t>Bridge. Wood abutments and girders.</t>
  </si>
  <si>
    <t>Spur</t>
  </si>
  <si>
    <t>Road deactivated</t>
  </si>
  <si>
    <t>Fill depth not recorded to "best guess" recorded.</t>
  </si>
  <si>
    <t>Dry. Channel partially covered in moss.  Very likey flows for only short periods of the year.</t>
  </si>
  <si>
    <t>Dry at time of survey.  Channel poorly defined.  Likely flows for only short periods.</t>
  </si>
  <si>
    <t>Ford.  Quad bridge in place made from logs.</t>
  </si>
  <si>
    <t>Tributary to Morice River</t>
  </si>
  <si>
    <t>Morice West FSR</t>
  </si>
  <si>
    <t>Observed 60mm fish swimming into the outlet.  Nicely embedded. Inlet drop of large cobbles may be issue for smaller fish.</t>
  </si>
  <si>
    <t xml:space="preserve">Bridge. </t>
  </si>
  <si>
    <t>Dry. Small stream. DV point upstream in FISS.  May be flowing at point upstream.</t>
  </si>
  <si>
    <t>Bridge with only 0.7 clearance at outlet.</t>
  </si>
  <si>
    <t>Tagit Creek</t>
  </si>
  <si>
    <t>KP AI</t>
  </si>
  <si>
    <t>Check utm</t>
  </si>
  <si>
    <t>Deep Creek</t>
  </si>
  <si>
    <t>Tobaggan Creek</t>
  </si>
  <si>
    <t>Private Driveway</t>
  </si>
  <si>
    <t>John Brown</t>
  </si>
  <si>
    <t>Powerline</t>
  </si>
  <si>
    <t>Tributary to Toboggan Creek</t>
  </si>
  <si>
    <t>Owens Road</t>
  </si>
  <si>
    <t xml:space="preserve">Crossing does not exist on railway.  Surveyed above and below modelled crossing.  There is ephemeral channel upstream of the railway that is directed to go along the railway in ditch and quickly dissipates into shrubs and grasses.  </t>
  </si>
  <si>
    <t>Elliot Creek</t>
  </si>
  <si>
    <t>Tributary to Waterfall Creek</t>
  </si>
  <si>
    <t>DN</t>
  </si>
  <si>
    <t>Boulder Creek</t>
  </si>
  <si>
    <t>Unnamed</t>
  </si>
  <si>
    <t>No structure present.</t>
  </si>
  <si>
    <t>Cesford Creek</t>
  </si>
  <si>
    <t>Highway 118</t>
  </si>
  <si>
    <t>MoTi</t>
  </si>
  <si>
    <t>High</t>
  </si>
  <si>
    <t>Habitat confirmation conducted.  ~110mm fish observed in outlet pool.  Culvert slope surveyed with lazer level.</t>
  </si>
  <si>
    <t>Taman Creek</t>
  </si>
  <si>
    <t>Highway 16</t>
  </si>
  <si>
    <t>Habitat confirmation conducted.  Two pipes (2.5m x 2.5m).  Culvert slope measured with lazel level.  Fish observed.  Could not locate downstream crossing on railway.  Garmin backroads mapbook shows stream connecting with side channel of the Bulkley.</t>
  </si>
  <si>
    <t>ID is 2021090601 in the photos.</t>
  </si>
  <si>
    <t>Tributary to Thautil River</t>
  </si>
  <si>
    <t>Thautil FSR</t>
  </si>
  <si>
    <t>Tributary to Gabriel Creek</t>
  </si>
  <si>
    <t>Gabriel Creek</t>
  </si>
  <si>
    <t>AI VJ TP</t>
  </si>
  <si>
    <t>AI KP VJ TP</t>
  </si>
  <si>
    <t>Tributary to Own Creek</t>
  </si>
  <si>
    <t>Morice-Owen FSR</t>
  </si>
  <si>
    <t>Fenton Creek</t>
  </si>
  <si>
    <t>Morice-West FSR</t>
  </si>
  <si>
    <t>Tsiyuh Creek</t>
  </si>
  <si>
    <t>Morice River FSR</t>
  </si>
  <si>
    <t>Pipe Arch</t>
  </si>
  <si>
    <t>KP AI TP VJ</t>
  </si>
  <si>
    <t>Tributary to Lamprey Creek</t>
  </si>
  <si>
    <t xml:space="preserve">Habitat confirmation conducted.  Fish observed (150mm).  </t>
  </si>
  <si>
    <t>Watson Creek</t>
  </si>
  <si>
    <t>Montgomery Road</t>
  </si>
  <si>
    <t>Thompson Creek</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</si>
  <si>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</si>
  <si>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</si>
  <si>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LRH DM</t>
  </si>
  <si>
    <t>Morice R FSR</t>
  </si>
  <si>
    <t>Morice Nado</t>
  </si>
  <si>
    <t>spur Morice Nado</t>
  </si>
  <si>
    <t>Bill Nye spur</t>
  </si>
  <si>
    <t>Bill Nye</t>
  </si>
  <si>
    <t>spur (overgrown)</t>
  </si>
  <si>
    <t>Morice FSR</t>
  </si>
  <si>
    <t>Tributary to Nanika River</t>
  </si>
  <si>
    <t>McBride Creek</t>
  </si>
  <si>
    <t>KP</t>
  </si>
  <si>
    <t>Peacock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</si>
</sst>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75" activePane="bottomLeft" state="frozen"/>
      <selection pane="bottomLeft" activeCell="L184" sqref="L18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44438</v>
      </c>
      <c r="B5" s="112"/>
      <c r="C5" s="116">
        <v>1805532</v>
      </c>
      <c r="D5" s="116" t="s">
        <v>92</v>
      </c>
      <c r="E5" s="77"/>
      <c r="F5" s="53"/>
      <c r="G5" s="51"/>
      <c r="H5" s="11" t="s">
        <v>93</v>
      </c>
      <c r="I5" s="11" t="s">
        <v>94</v>
      </c>
      <c r="J5" s="104"/>
      <c r="K5" s="11" t="s">
        <v>95</v>
      </c>
      <c r="L5" s="116" t="s">
        <v>96</v>
      </c>
      <c r="M5" s="116" t="s">
        <v>97</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97</v>
      </c>
    </row>
    <row r="6" spans="1:42" s="13" customFormat="1" x14ac:dyDescent="0.25">
      <c r="A6" s="117">
        <v>44438</v>
      </c>
      <c r="B6" s="112"/>
      <c r="C6" s="116">
        <v>2021080301</v>
      </c>
      <c r="D6" s="116" t="s">
        <v>98</v>
      </c>
      <c r="E6" s="77"/>
      <c r="F6" s="78"/>
      <c r="G6" s="79"/>
      <c r="H6" s="116" t="s">
        <v>93</v>
      </c>
      <c r="I6" s="77" t="s">
        <v>99</v>
      </c>
      <c r="J6" s="104"/>
      <c r="K6" s="116" t="s">
        <v>99</v>
      </c>
      <c r="L6" s="116" t="s">
        <v>96</v>
      </c>
      <c r="M6" s="116" t="s">
        <v>97</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97</v>
      </c>
    </row>
    <row r="7" spans="1:42" s="13" customFormat="1" ht="30" x14ac:dyDescent="0.25">
      <c r="A7" s="117">
        <v>44438</v>
      </c>
      <c r="B7" s="112"/>
      <c r="C7" s="116">
        <v>1800360</v>
      </c>
      <c r="D7" s="116" t="s">
        <v>98</v>
      </c>
      <c r="E7" s="77"/>
      <c r="F7" s="78"/>
      <c r="G7" s="79"/>
      <c r="H7" s="116" t="s">
        <v>111</v>
      </c>
      <c r="I7" s="77" t="s">
        <v>109</v>
      </c>
      <c r="J7" s="104"/>
      <c r="K7" s="116"/>
      <c r="L7" s="116" t="s">
        <v>100</v>
      </c>
      <c r="M7" s="116" t="s">
        <v>101</v>
      </c>
      <c r="N7" s="114">
        <v>0.6</v>
      </c>
      <c r="O7" s="114">
        <v>14.5</v>
      </c>
      <c r="P7" s="116" t="s">
        <v>102</v>
      </c>
      <c r="Q7" s="121"/>
      <c r="R7" s="116" t="s">
        <v>102</v>
      </c>
      <c r="S7" s="116" t="s">
        <v>102</v>
      </c>
      <c r="T7" s="121"/>
      <c r="U7" s="116">
        <v>1</v>
      </c>
      <c r="V7" s="116">
        <v>0.1</v>
      </c>
      <c r="W7" s="116">
        <v>0.1</v>
      </c>
      <c r="X7" s="116" t="s">
        <v>102</v>
      </c>
      <c r="Y7" s="116">
        <v>3.5</v>
      </c>
      <c r="Z7" s="116">
        <v>1.5</v>
      </c>
      <c r="AA7" s="116">
        <v>7</v>
      </c>
      <c r="AB7" s="115" t="s">
        <v>102</v>
      </c>
      <c r="AC7" s="115" t="s">
        <v>102</v>
      </c>
      <c r="AD7" s="116" t="s">
        <v>103</v>
      </c>
      <c r="AE7" s="116" t="s">
        <v>104</v>
      </c>
      <c r="AF7" s="22">
        <f t="shared" si="0"/>
        <v>2.5</v>
      </c>
      <c r="AG7" s="15">
        <f t="shared" si="1"/>
        <v>0</v>
      </c>
      <c r="AH7" s="7">
        <f t="shared" si="2"/>
        <v>10</v>
      </c>
      <c r="AI7" s="7">
        <f t="shared" si="3"/>
        <v>0</v>
      </c>
      <c r="AJ7" s="7">
        <f t="shared" si="4"/>
        <v>10</v>
      </c>
      <c r="AK7" s="12">
        <f t="shared" si="5"/>
        <v>6</v>
      </c>
      <c r="AL7" s="14">
        <f t="shared" si="6"/>
        <v>26</v>
      </c>
      <c r="AM7" s="16" t="str">
        <f t="shared" si="7"/>
        <v>Barrier</v>
      </c>
      <c r="AN7" s="116"/>
      <c r="AO7" s="116"/>
      <c r="AP7" s="116" t="s">
        <v>105</v>
      </c>
    </row>
    <row r="8" spans="1:42" s="13" customFormat="1" ht="30" x14ac:dyDescent="0.25">
      <c r="A8" s="117">
        <v>44438</v>
      </c>
      <c r="B8" s="110"/>
      <c r="C8" s="116">
        <v>1800180</v>
      </c>
      <c r="D8" s="116" t="s">
        <v>98</v>
      </c>
      <c r="E8" s="77"/>
      <c r="F8" s="78"/>
      <c r="G8" s="79"/>
      <c r="H8" s="116" t="s">
        <v>111</v>
      </c>
      <c r="I8" s="77" t="s">
        <v>109</v>
      </c>
      <c r="J8" s="105"/>
      <c r="K8" s="108"/>
      <c r="L8" s="116" t="s">
        <v>100</v>
      </c>
      <c r="M8" s="116" t="s">
        <v>101</v>
      </c>
      <c r="N8" s="114">
        <v>0.9</v>
      </c>
      <c r="O8" s="114">
        <v>23</v>
      </c>
      <c r="P8" s="116" t="s">
        <v>102</v>
      </c>
      <c r="Q8" s="121"/>
      <c r="R8" s="116" t="s">
        <v>102</v>
      </c>
      <c r="S8" s="116" t="s">
        <v>102</v>
      </c>
      <c r="T8" s="121"/>
      <c r="U8" s="116">
        <v>1</v>
      </c>
      <c r="V8" s="116">
        <v>0</v>
      </c>
      <c r="W8" s="116">
        <v>0</v>
      </c>
      <c r="X8" s="116" t="s">
        <v>106</v>
      </c>
      <c r="Y8" s="116">
        <v>3.5</v>
      </c>
      <c r="Z8" s="116">
        <v>1.5</v>
      </c>
      <c r="AA8" s="116">
        <v>12</v>
      </c>
      <c r="AB8" s="115" t="s">
        <v>102</v>
      </c>
      <c r="AC8" s="115" t="s">
        <v>102</v>
      </c>
      <c r="AD8" s="116" t="s">
        <v>103</v>
      </c>
      <c r="AE8" s="116" t="s">
        <v>104</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16"/>
      <c r="AO8" s="116"/>
      <c r="AP8" s="116" t="s">
        <v>107</v>
      </c>
    </row>
    <row r="9" spans="1:42" x14ac:dyDescent="0.25">
      <c r="A9" s="117">
        <v>44438</v>
      </c>
      <c r="B9" s="111"/>
      <c r="C9" s="116">
        <v>1800372</v>
      </c>
      <c r="D9" s="116" t="s">
        <v>92</v>
      </c>
      <c r="E9" s="77">
        <v>9</v>
      </c>
      <c r="F9" s="78">
        <v>681279</v>
      </c>
      <c r="G9" s="79">
        <v>6032345</v>
      </c>
      <c r="H9" s="103" t="s">
        <v>111</v>
      </c>
      <c r="I9" s="77" t="s">
        <v>108</v>
      </c>
      <c r="J9" s="104"/>
      <c r="K9" s="108"/>
      <c r="L9" s="116" t="s">
        <v>100</v>
      </c>
      <c r="M9" s="115" t="s">
        <v>101</v>
      </c>
      <c r="N9" s="113">
        <v>0.9</v>
      </c>
      <c r="O9" s="113">
        <v>15</v>
      </c>
      <c r="P9" s="116" t="s">
        <v>102</v>
      </c>
      <c r="Q9" s="121"/>
      <c r="R9" s="116" t="s">
        <v>102</v>
      </c>
      <c r="S9" s="116" t="s">
        <v>102</v>
      </c>
      <c r="T9" s="121"/>
      <c r="U9" s="116">
        <v>1.5</v>
      </c>
      <c r="V9" s="116">
        <v>0</v>
      </c>
      <c r="W9" s="116">
        <v>0</v>
      </c>
      <c r="X9" s="116" t="s">
        <v>102</v>
      </c>
      <c r="Y9" s="116">
        <v>8</v>
      </c>
      <c r="Z9" s="116">
        <v>2</v>
      </c>
      <c r="AA9" s="116">
        <v>4</v>
      </c>
      <c r="AB9" s="115" t="s">
        <v>102</v>
      </c>
      <c r="AC9" s="115" t="s">
        <v>102</v>
      </c>
      <c r="AD9" s="116" t="s">
        <v>103</v>
      </c>
      <c r="AE9" s="116" t="s">
        <v>104</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16"/>
      <c r="AO9" s="116"/>
      <c r="AP9" s="116" t="s">
        <v>110</v>
      </c>
    </row>
    <row r="10" spans="1:42" x14ac:dyDescent="0.25">
      <c r="A10" s="117">
        <v>44438</v>
      </c>
      <c r="B10" s="111"/>
      <c r="C10" s="116">
        <v>1803682</v>
      </c>
      <c r="D10" s="116" t="s">
        <v>98</v>
      </c>
      <c r="E10" s="77"/>
      <c r="F10" s="78"/>
      <c r="G10" s="79"/>
      <c r="H10" s="103" t="s">
        <v>93</v>
      </c>
      <c r="I10" s="77" t="s">
        <v>115</v>
      </c>
      <c r="J10" s="104"/>
      <c r="K10" s="116"/>
      <c r="L10" s="116" t="s">
        <v>96</v>
      </c>
      <c r="M10" s="116" t="s">
        <v>97</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t="s">
        <v>97</v>
      </c>
    </row>
    <row r="11" spans="1:42" x14ac:dyDescent="0.25">
      <c r="A11" s="117">
        <v>44438</v>
      </c>
      <c r="B11" s="111"/>
      <c r="C11" s="103">
        <v>1803706</v>
      </c>
      <c r="D11" s="115" t="s">
        <v>98</v>
      </c>
      <c r="E11" s="115"/>
      <c r="F11" s="107"/>
      <c r="G11" s="106"/>
      <c r="H11" s="103" t="s">
        <v>114</v>
      </c>
      <c r="I11" s="77" t="s">
        <v>115</v>
      </c>
      <c r="J11" s="104"/>
      <c r="K11" s="115"/>
      <c r="L11" s="116" t="s">
        <v>100</v>
      </c>
      <c r="M11" s="116" t="s">
        <v>101</v>
      </c>
      <c r="N11" s="113">
        <v>0.5</v>
      </c>
      <c r="O11" s="113">
        <v>30</v>
      </c>
      <c r="P11" s="115" t="s">
        <v>102</v>
      </c>
      <c r="Q11" s="124"/>
      <c r="R11" s="115" t="s">
        <v>102</v>
      </c>
      <c r="S11" s="115" t="s">
        <v>102</v>
      </c>
      <c r="T11" s="124"/>
      <c r="U11" s="113">
        <v>3</v>
      </c>
      <c r="V11" s="115">
        <v>0.6</v>
      </c>
      <c r="W11" s="113">
        <v>0.3</v>
      </c>
      <c r="X11" s="115" t="s">
        <v>102</v>
      </c>
      <c r="Y11" s="113">
        <v>3.5</v>
      </c>
      <c r="Z11" s="113">
        <v>1.2</v>
      </c>
      <c r="AA11" s="115">
        <v>3</v>
      </c>
      <c r="AB11" s="115" t="s">
        <v>102</v>
      </c>
      <c r="AC11" s="115" t="s">
        <v>102</v>
      </c>
      <c r="AD11" s="115" t="s">
        <v>103</v>
      </c>
      <c r="AE11" s="115" t="s">
        <v>104</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c r="AO11" s="116"/>
      <c r="AP11" s="116" t="s">
        <v>112</v>
      </c>
    </row>
    <row r="12" spans="1:42" ht="30" x14ac:dyDescent="0.25">
      <c r="A12" s="82">
        <v>44438</v>
      </c>
      <c r="B12" s="73"/>
      <c r="C12" s="25">
        <v>1802611</v>
      </c>
      <c r="D12" s="25" t="s">
        <v>98</v>
      </c>
      <c r="E12" s="77">
        <v>9</v>
      </c>
      <c r="F12" s="78">
        <v>685706</v>
      </c>
      <c r="G12" s="79">
        <v>6023769</v>
      </c>
      <c r="H12" s="77" t="s">
        <v>114</v>
      </c>
      <c r="I12" s="77" t="s">
        <v>115</v>
      </c>
      <c r="J12" s="42"/>
      <c r="K12" s="77"/>
      <c r="L12" s="25" t="s">
        <v>100</v>
      </c>
      <c r="M12" s="25" t="s">
        <v>101</v>
      </c>
      <c r="N12" s="114">
        <v>1.2</v>
      </c>
      <c r="O12" s="114">
        <v>23</v>
      </c>
      <c r="P12" s="116" t="s">
        <v>102</v>
      </c>
      <c r="Q12" s="121"/>
      <c r="R12" s="116" t="s">
        <v>102</v>
      </c>
      <c r="S12" s="116" t="s">
        <v>102</v>
      </c>
      <c r="T12" s="122"/>
      <c r="U12" s="114">
        <v>1</v>
      </c>
      <c r="V12" s="116">
        <v>0</v>
      </c>
      <c r="W12" s="114">
        <v>0</v>
      </c>
      <c r="X12" s="116" t="s">
        <v>102</v>
      </c>
      <c r="Y12" s="114">
        <v>1</v>
      </c>
      <c r="Z12" s="114">
        <v>1.3</v>
      </c>
      <c r="AA12" s="116">
        <v>2.5</v>
      </c>
      <c r="AB12" s="25" t="s">
        <v>102</v>
      </c>
      <c r="AC12" s="25" t="s">
        <v>102</v>
      </c>
      <c r="AD12" s="116" t="s">
        <v>103</v>
      </c>
      <c r="AE12" s="116" t="s">
        <v>104</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16"/>
      <c r="AO12" s="114"/>
      <c r="AP12" s="25" t="s">
        <v>113</v>
      </c>
    </row>
    <row r="13" spans="1:42" ht="30" x14ac:dyDescent="0.25">
      <c r="A13" s="82">
        <v>44438</v>
      </c>
      <c r="B13" s="76"/>
      <c r="C13" s="25">
        <v>1803697</v>
      </c>
      <c r="D13" s="25" t="s">
        <v>98</v>
      </c>
      <c r="E13" s="77"/>
      <c r="F13" s="78"/>
      <c r="G13" s="79"/>
      <c r="H13" s="77" t="s">
        <v>114</v>
      </c>
      <c r="I13" s="77" t="s">
        <v>115</v>
      </c>
      <c r="J13" s="80"/>
      <c r="K13" s="77"/>
      <c r="L13" s="25" t="s">
        <v>100</v>
      </c>
      <c r="M13" s="25" t="s">
        <v>101</v>
      </c>
      <c r="N13" s="114">
        <v>0.3</v>
      </c>
      <c r="O13" s="114">
        <v>15</v>
      </c>
      <c r="P13" s="116" t="s">
        <v>102</v>
      </c>
      <c r="Q13" s="121"/>
      <c r="R13" s="116" t="s">
        <v>102</v>
      </c>
      <c r="S13" s="116" t="s">
        <v>102</v>
      </c>
      <c r="T13" s="121"/>
      <c r="U13" s="114">
        <v>1</v>
      </c>
      <c r="V13" s="116">
        <v>0.1</v>
      </c>
      <c r="W13" s="114">
        <v>0</v>
      </c>
      <c r="X13" s="116" t="s">
        <v>102</v>
      </c>
      <c r="Y13" s="114">
        <v>1.5</v>
      </c>
      <c r="Z13" s="114">
        <v>1</v>
      </c>
      <c r="AA13" s="116">
        <v>2</v>
      </c>
      <c r="AB13" s="25" t="s">
        <v>102</v>
      </c>
      <c r="AC13" s="25" t="s">
        <v>102</v>
      </c>
      <c r="AD13" s="116" t="s">
        <v>103</v>
      </c>
      <c r="AE13" s="116" t="s">
        <v>104</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16"/>
      <c r="AO13" s="114"/>
      <c r="AP13" s="25" t="s">
        <v>116</v>
      </c>
    </row>
    <row r="14" spans="1:42" ht="30" x14ac:dyDescent="0.25">
      <c r="A14" s="82">
        <v>44438</v>
      </c>
      <c r="B14" s="76"/>
      <c r="C14" s="25">
        <v>2021083002</v>
      </c>
      <c r="D14" s="25" t="s">
        <v>98</v>
      </c>
      <c r="E14" s="77">
        <v>9</v>
      </c>
      <c r="F14" s="78">
        <v>687557</v>
      </c>
      <c r="G14" s="79">
        <v>6020572</v>
      </c>
      <c r="H14" s="77" t="s">
        <v>114</v>
      </c>
      <c r="I14" s="77" t="s">
        <v>115</v>
      </c>
      <c r="J14" s="80"/>
      <c r="K14" s="77"/>
      <c r="L14" s="25" t="s">
        <v>100</v>
      </c>
      <c r="M14" s="25" t="s">
        <v>101</v>
      </c>
      <c r="N14" s="114">
        <v>0.6</v>
      </c>
      <c r="O14" s="114">
        <v>16</v>
      </c>
      <c r="P14" s="116" t="s">
        <v>102</v>
      </c>
      <c r="Q14" s="121"/>
      <c r="R14" s="116" t="s">
        <v>102</v>
      </c>
      <c r="S14" s="116" t="s">
        <v>102</v>
      </c>
      <c r="T14" s="121"/>
      <c r="U14" s="114">
        <v>2.5</v>
      </c>
      <c r="V14" s="116">
        <v>0</v>
      </c>
      <c r="W14" s="114">
        <v>0.65</v>
      </c>
      <c r="X14" s="116" t="s">
        <v>106</v>
      </c>
      <c r="Y14" s="114">
        <v>3</v>
      </c>
      <c r="Z14" s="114">
        <v>0.9</v>
      </c>
      <c r="AA14" s="116">
        <v>4</v>
      </c>
      <c r="AB14" s="25" t="s">
        <v>106</v>
      </c>
      <c r="AC14" s="25" t="s">
        <v>102</v>
      </c>
      <c r="AD14" s="116" t="s">
        <v>103</v>
      </c>
      <c r="AE14" s="116" t="s">
        <v>117</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16"/>
      <c r="AO14" s="114"/>
      <c r="AP14" s="25" t="s">
        <v>118</v>
      </c>
    </row>
    <row r="15" spans="1:42" ht="30" x14ac:dyDescent="0.25">
      <c r="A15" s="82">
        <v>44438</v>
      </c>
      <c r="B15" s="76"/>
      <c r="C15" s="25">
        <v>1804694</v>
      </c>
      <c r="D15" s="25" t="s">
        <v>98</v>
      </c>
      <c r="E15" s="77"/>
      <c r="F15" s="78"/>
      <c r="G15" s="79"/>
      <c r="H15" s="77" t="s">
        <v>114</v>
      </c>
      <c r="I15" s="77" t="s">
        <v>119</v>
      </c>
      <c r="J15" s="80"/>
      <c r="K15" s="77"/>
      <c r="L15" s="25" t="s">
        <v>96</v>
      </c>
      <c r="M15" s="25" t="s">
        <v>97</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25" t="s">
        <v>97</v>
      </c>
    </row>
    <row r="16" spans="1:42" x14ac:dyDescent="0.25">
      <c r="A16" s="82">
        <v>44438</v>
      </c>
      <c r="B16" s="76"/>
      <c r="C16" s="25">
        <v>2021083003</v>
      </c>
      <c r="D16" s="25" t="s">
        <v>92</v>
      </c>
      <c r="E16" s="77">
        <v>9</v>
      </c>
      <c r="F16" s="78">
        <v>686933</v>
      </c>
      <c r="G16" s="79">
        <v>6023054</v>
      </c>
      <c r="H16" s="77" t="s">
        <v>122</v>
      </c>
      <c r="I16" s="77" t="s">
        <v>123</v>
      </c>
      <c r="J16" s="80"/>
      <c r="K16" s="77"/>
      <c r="L16" s="25" t="s">
        <v>120</v>
      </c>
      <c r="M16" s="25" t="s">
        <v>121</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121</v>
      </c>
    </row>
    <row r="17" spans="1:42" x14ac:dyDescent="0.25">
      <c r="A17" s="82">
        <v>44439</v>
      </c>
      <c r="B17" s="76"/>
      <c r="C17" s="25">
        <v>1802106</v>
      </c>
      <c r="D17" s="25" t="s">
        <v>92</v>
      </c>
      <c r="E17" s="77"/>
      <c r="F17" s="78"/>
      <c r="G17" s="79"/>
      <c r="H17" s="77" t="s">
        <v>126</v>
      </c>
      <c r="I17" s="77" t="s">
        <v>99</v>
      </c>
      <c r="J17" s="80"/>
      <c r="K17" s="77"/>
      <c r="L17" s="25" t="s">
        <v>96</v>
      </c>
      <c r="M17" s="25" t="s">
        <v>97</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x14ac:dyDescent="0.25">
      <c r="A18" s="82">
        <v>44439</v>
      </c>
      <c r="B18" s="76"/>
      <c r="C18" s="25">
        <v>1802088</v>
      </c>
      <c r="D18" s="25" t="s">
        <v>92</v>
      </c>
      <c r="E18" s="77"/>
      <c r="F18" s="78"/>
      <c r="G18" s="79"/>
      <c r="H18" s="77" t="s">
        <v>126</v>
      </c>
      <c r="I18" s="77" t="s">
        <v>99</v>
      </c>
      <c r="J18" s="80"/>
      <c r="K18" s="77"/>
      <c r="L18" s="25" t="s">
        <v>120</v>
      </c>
      <c r="M18" s="25" t="s">
        <v>121</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121</v>
      </c>
    </row>
    <row r="19" spans="1:42" x14ac:dyDescent="0.25">
      <c r="A19" s="82">
        <v>44439</v>
      </c>
      <c r="B19" s="76"/>
      <c r="C19" s="25">
        <v>1802089</v>
      </c>
      <c r="D19" s="25" t="s">
        <v>92</v>
      </c>
      <c r="E19" s="77"/>
      <c r="F19" s="78"/>
      <c r="G19" s="79"/>
      <c r="H19" s="77" t="s">
        <v>125</v>
      </c>
      <c r="I19" s="77" t="s">
        <v>99</v>
      </c>
      <c r="J19" s="42"/>
      <c r="K19" s="77"/>
      <c r="L19" s="25" t="s">
        <v>120</v>
      </c>
      <c r="M19" s="25" t="s">
        <v>121</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127</v>
      </c>
    </row>
    <row r="20" spans="1:42" x14ac:dyDescent="0.25">
      <c r="A20" s="82">
        <v>44440</v>
      </c>
      <c r="B20" s="76"/>
      <c r="C20" s="25">
        <v>14000613</v>
      </c>
      <c r="D20" s="25" t="s">
        <v>92</v>
      </c>
      <c r="E20" s="77">
        <v>9</v>
      </c>
      <c r="F20" s="78">
        <v>5888851</v>
      </c>
      <c r="G20" s="79">
        <v>6003123</v>
      </c>
      <c r="H20" s="25" t="s">
        <v>129</v>
      </c>
      <c r="I20" s="77"/>
      <c r="J20" s="42"/>
      <c r="K20" s="77"/>
      <c r="L20" s="25" t="s">
        <v>120</v>
      </c>
      <c r="M20" s="25" t="s">
        <v>121</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128</v>
      </c>
    </row>
    <row r="21" spans="1:42" x14ac:dyDescent="0.25">
      <c r="A21" s="82">
        <v>44440</v>
      </c>
      <c r="B21" s="76"/>
      <c r="C21" s="25">
        <v>14000621</v>
      </c>
      <c r="D21" s="25" t="s">
        <v>92</v>
      </c>
      <c r="E21" s="25"/>
      <c r="F21" s="75"/>
      <c r="G21" s="81"/>
      <c r="H21" s="25" t="s">
        <v>129</v>
      </c>
      <c r="I21" s="25" t="s">
        <v>130</v>
      </c>
      <c r="J21" s="42"/>
      <c r="K21" s="25"/>
      <c r="L21" s="25" t="s">
        <v>100</v>
      </c>
      <c r="M21" s="25" t="s">
        <v>131</v>
      </c>
      <c r="N21" s="114">
        <v>1.95</v>
      </c>
      <c r="O21" s="114">
        <v>16</v>
      </c>
      <c r="P21" s="116" t="s">
        <v>106</v>
      </c>
      <c r="Q21" s="114">
        <v>0.15</v>
      </c>
      <c r="R21" s="116" t="s">
        <v>106</v>
      </c>
      <c r="S21" s="116" t="s">
        <v>102</v>
      </c>
      <c r="T21" s="122"/>
      <c r="U21" s="114">
        <v>2</v>
      </c>
      <c r="V21" s="116">
        <v>0</v>
      </c>
      <c r="W21" s="114">
        <v>0.05</v>
      </c>
      <c r="X21" s="116" t="s">
        <v>102</v>
      </c>
      <c r="Y21" s="114">
        <v>0.75</v>
      </c>
      <c r="Z21" s="114">
        <v>2.8</v>
      </c>
      <c r="AA21" s="116">
        <v>7</v>
      </c>
      <c r="AB21" s="25" t="s">
        <v>102</v>
      </c>
      <c r="AC21" s="25" t="s">
        <v>102</v>
      </c>
      <c r="AD21" s="116" t="s">
        <v>103</v>
      </c>
      <c r="AE21" s="116" t="s">
        <v>117</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1"/>
      <c r="AO21" s="122"/>
      <c r="AP21" s="25" t="s">
        <v>132</v>
      </c>
    </row>
    <row r="22" spans="1:42" ht="30" x14ac:dyDescent="0.25">
      <c r="A22" s="82">
        <v>44440</v>
      </c>
      <c r="B22" s="76"/>
      <c r="C22" s="25">
        <v>14000614</v>
      </c>
      <c r="D22" s="25" t="s">
        <v>92</v>
      </c>
      <c r="E22" s="77"/>
      <c r="F22" s="78"/>
      <c r="G22" s="79"/>
      <c r="H22" s="77" t="s">
        <v>129</v>
      </c>
      <c r="I22" s="77" t="s">
        <v>130</v>
      </c>
      <c r="J22" s="80"/>
      <c r="K22" s="77"/>
      <c r="L22" s="25" t="s">
        <v>96</v>
      </c>
      <c r="M22" s="25" t="s">
        <v>97</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1"/>
      <c r="AO22" s="122"/>
      <c r="AP22" s="25" t="s">
        <v>133</v>
      </c>
    </row>
    <row r="23" spans="1:42" ht="30" x14ac:dyDescent="0.25">
      <c r="A23" s="82">
        <v>44440</v>
      </c>
      <c r="B23" s="76"/>
      <c r="C23" s="25">
        <v>14000944</v>
      </c>
      <c r="D23" s="25" t="s">
        <v>92</v>
      </c>
      <c r="E23" s="77"/>
      <c r="F23" s="78"/>
      <c r="G23" s="79"/>
      <c r="H23" s="77" t="s">
        <v>129</v>
      </c>
      <c r="I23" s="77" t="s">
        <v>130</v>
      </c>
      <c r="J23" s="80"/>
      <c r="K23" s="77"/>
      <c r="L23" s="25" t="s">
        <v>96</v>
      </c>
      <c r="M23" s="25" t="s">
        <v>97</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1"/>
      <c r="AO23" s="122"/>
      <c r="AP23" s="25" t="s">
        <v>134</v>
      </c>
    </row>
    <row r="24" spans="1:42" ht="30" x14ac:dyDescent="0.25">
      <c r="A24" s="82">
        <v>44440</v>
      </c>
      <c r="B24" s="76"/>
      <c r="C24" s="25">
        <v>14001249</v>
      </c>
      <c r="D24" s="25" t="s">
        <v>92</v>
      </c>
      <c r="E24" s="77"/>
      <c r="F24" s="78"/>
      <c r="G24" s="79"/>
      <c r="H24" s="77" t="s">
        <v>129</v>
      </c>
      <c r="I24" s="77" t="s">
        <v>135</v>
      </c>
      <c r="J24" s="80"/>
      <c r="K24" s="77"/>
      <c r="L24" s="25" t="s">
        <v>120</v>
      </c>
      <c r="M24" s="25" t="s">
        <v>121</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121</v>
      </c>
    </row>
    <row r="25" spans="1:42" ht="30" x14ac:dyDescent="0.25">
      <c r="A25" s="82">
        <v>44440</v>
      </c>
      <c r="B25" s="76"/>
      <c r="C25" s="25">
        <v>14000725</v>
      </c>
      <c r="D25" s="25" t="s">
        <v>92</v>
      </c>
      <c r="E25" s="77"/>
      <c r="F25" s="78"/>
      <c r="G25" s="79"/>
      <c r="H25" s="77" t="s">
        <v>129</v>
      </c>
      <c r="I25" s="77" t="s">
        <v>130</v>
      </c>
      <c r="J25" s="80"/>
      <c r="K25" s="77"/>
      <c r="L25" s="25" t="s">
        <v>96</v>
      </c>
      <c r="M25" s="25" t="s">
        <v>97</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1"/>
      <c r="AO25" s="122"/>
      <c r="AP25" s="25" t="s">
        <v>97</v>
      </c>
    </row>
    <row r="26" spans="1:42" ht="30" x14ac:dyDescent="0.25">
      <c r="A26" s="82">
        <v>44440</v>
      </c>
      <c r="B26" s="76"/>
      <c r="C26" s="25">
        <v>14001542</v>
      </c>
      <c r="D26" s="25" t="s">
        <v>92</v>
      </c>
      <c r="E26" s="77"/>
      <c r="F26" s="78"/>
      <c r="G26" s="79"/>
      <c r="H26" s="77" t="s">
        <v>129</v>
      </c>
      <c r="I26" s="77" t="s">
        <v>135</v>
      </c>
      <c r="J26" s="80"/>
      <c r="K26" s="77"/>
      <c r="L26" s="25" t="s">
        <v>120</v>
      </c>
      <c r="M26" s="25" t="s">
        <v>121</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136</v>
      </c>
    </row>
    <row r="27" spans="1:42" ht="30" x14ac:dyDescent="0.25">
      <c r="A27" s="82">
        <v>44440</v>
      </c>
      <c r="B27" s="76"/>
      <c r="C27" s="25">
        <v>14000828</v>
      </c>
      <c r="D27" s="25" t="s">
        <v>92</v>
      </c>
      <c r="E27" s="77"/>
      <c r="F27" s="78"/>
      <c r="G27" s="79"/>
      <c r="H27" s="77" t="s">
        <v>129</v>
      </c>
      <c r="I27" s="77" t="s">
        <v>135</v>
      </c>
      <c r="J27" s="80"/>
      <c r="K27" s="77"/>
      <c r="L27" s="25" t="s">
        <v>100</v>
      </c>
      <c r="M27" s="25" t="s">
        <v>101</v>
      </c>
      <c r="N27" s="114">
        <v>1</v>
      </c>
      <c r="O27" s="114">
        <v>14</v>
      </c>
      <c r="P27" s="116" t="s">
        <v>106</v>
      </c>
      <c r="Q27" s="114">
        <v>0.05</v>
      </c>
      <c r="R27" s="116" t="s">
        <v>106</v>
      </c>
      <c r="S27" s="116" t="s">
        <v>102</v>
      </c>
      <c r="T27" s="122"/>
      <c r="U27" s="114">
        <v>1</v>
      </c>
      <c r="V27" s="116">
        <v>0</v>
      </c>
      <c r="W27" s="114">
        <v>0</v>
      </c>
      <c r="X27" s="116" t="s">
        <v>102</v>
      </c>
      <c r="Y27" s="114">
        <v>1</v>
      </c>
      <c r="Z27" s="114">
        <v>0.8</v>
      </c>
      <c r="AA27" s="116">
        <v>0</v>
      </c>
      <c r="AB27" s="25" t="s">
        <v>102</v>
      </c>
      <c r="AC27" s="25" t="s">
        <v>102</v>
      </c>
      <c r="AD27" s="116" t="s">
        <v>103</v>
      </c>
      <c r="AE27" s="116" t="s">
        <v>104</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1"/>
      <c r="AO27" s="122"/>
      <c r="AP27" s="25" t="s">
        <v>139</v>
      </c>
    </row>
    <row r="28" spans="1:42" ht="30" x14ac:dyDescent="0.25">
      <c r="A28" s="82">
        <v>44440</v>
      </c>
      <c r="B28" s="76"/>
      <c r="C28" s="25">
        <v>14000949</v>
      </c>
      <c r="D28" s="25" t="s">
        <v>92</v>
      </c>
      <c r="E28" s="77">
        <v>9</v>
      </c>
      <c r="F28" s="78">
        <v>601529</v>
      </c>
      <c r="G28" s="79">
        <v>6006865</v>
      </c>
      <c r="H28" s="77" t="s">
        <v>129</v>
      </c>
      <c r="I28" s="77" t="s">
        <v>130</v>
      </c>
      <c r="J28" s="80"/>
      <c r="K28" s="77"/>
      <c r="L28" s="25" t="s">
        <v>100</v>
      </c>
      <c r="M28" s="25" t="s">
        <v>101</v>
      </c>
      <c r="N28" s="114">
        <v>1.2</v>
      </c>
      <c r="O28" s="114">
        <v>28</v>
      </c>
      <c r="P28" s="116" t="s">
        <v>102</v>
      </c>
      <c r="Q28" s="122"/>
      <c r="R28" s="116" t="s">
        <v>102</v>
      </c>
      <c r="S28" s="116" t="s">
        <v>102</v>
      </c>
      <c r="T28" s="122"/>
      <c r="U28" s="114">
        <v>1</v>
      </c>
      <c r="V28" s="116">
        <v>0.5</v>
      </c>
      <c r="W28" s="114">
        <v>0.1</v>
      </c>
      <c r="X28" s="116" t="s">
        <v>102</v>
      </c>
      <c r="Y28" s="114">
        <v>0.5</v>
      </c>
      <c r="Z28" s="114">
        <v>0.9</v>
      </c>
      <c r="AA28" s="116">
        <v>0.5</v>
      </c>
      <c r="AB28" s="25" t="s">
        <v>102</v>
      </c>
      <c r="AC28" s="25" t="s">
        <v>102</v>
      </c>
      <c r="AD28" s="116" t="s">
        <v>103</v>
      </c>
      <c r="AE28" s="116" t="s">
        <v>104</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16"/>
      <c r="AO28" s="114"/>
      <c r="AP28" s="25" t="s">
        <v>137</v>
      </c>
    </row>
    <row r="29" spans="1:42" ht="30" x14ac:dyDescent="0.25">
      <c r="A29" s="82">
        <v>44440</v>
      </c>
      <c r="B29" s="76"/>
      <c r="C29" s="25">
        <v>14000954</v>
      </c>
      <c r="D29" s="25" t="s">
        <v>92</v>
      </c>
      <c r="E29" s="77"/>
      <c r="F29" s="78"/>
      <c r="G29" s="79"/>
      <c r="H29" s="77" t="s">
        <v>129</v>
      </c>
      <c r="I29" s="77" t="s">
        <v>130</v>
      </c>
      <c r="J29" s="80"/>
      <c r="K29" s="77"/>
      <c r="L29" s="25" t="s">
        <v>100</v>
      </c>
      <c r="M29" s="25" t="s">
        <v>101</v>
      </c>
      <c r="N29" s="114">
        <v>0.5</v>
      </c>
      <c r="O29" s="114">
        <v>18</v>
      </c>
      <c r="P29" s="116" t="s">
        <v>102</v>
      </c>
      <c r="Q29" s="122"/>
      <c r="R29" s="116" t="s">
        <v>102</v>
      </c>
      <c r="S29" s="116" t="s">
        <v>102</v>
      </c>
      <c r="T29" s="122"/>
      <c r="U29" s="114">
        <v>1.5</v>
      </c>
      <c r="V29" s="116">
        <v>0</v>
      </c>
      <c r="W29" s="114">
        <v>0</v>
      </c>
      <c r="X29" s="116" t="s">
        <v>102</v>
      </c>
      <c r="Y29" s="114">
        <v>1</v>
      </c>
      <c r="Z29" s="114">
        <v>1.3</v>
      </c>
      <c r="AA29" s="116">
        <v>0.5</v>
      </c>
      <c r="AB29" s="25" t="s">
        <v>102</v>
      </c>
      <c r="AC29" s="25" t="s">
        <v>102</v>
      </c>
      <c r="AD29" s="116" t="s">
        <v>103</v>
      </c>
      <c r="AE29" s="116" t="s">
        <v>104</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16"/>
      <c r="AO29" s="114"/>
      <c r="AP29" s="25" t="s">
        <v>138</v>
      </c>
    </row>
    <row r="30" spans="1:42" ht="30" x14ac:dyDescent="0.25">
      <c r="A30" s="82">
        <v>44440</v>
      </c>
      <c r="B30" s="76"/>
      <c r="C30" s="25">
        <v>14000908</v>
      </c>
      <c r="D30" s="25" t="s">
        <v>92</v>
      </c>
      <c r="E30" s="77"/>
      <c r="F30" s="78"/>
      <c r="G30" s="79"/>
      <c r="H30" s="77" t="s">
        <v>129</v>
      </c>
      <c r="I30" s="77"/>
      <c r="J30" s="80"/>
      <c r="K30" s="77"/>
      <c r="L30" s="25" t="s">
        <v>120</v>
      </c>
      <c r="M30" s="25" t="s">
        <v>121</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140</v>
      </c>
    </row>
    <row r="31" spans="1:42" ht="30" x14ac:dyDescent="0.25">
      <c r="A31" s="82">
        <v>44440</v>
      </c>
      <c r="B31" s="76"/>
      <c r="C31" s="25">
        <v>14001002</v>
      </c>
      <c r="D31" s="25" t="s">
        <v>92</v>
      </c>
      <c r="E31" s="77"/>
      <c r="F31" s="78"/>
      <c r="G31" s="79"/>
      <c r="H31" s="77" t="s">
        <v>141</v>
      </c>
      <c r="I31" s="77" t="s">
        <v>142</v>
      </c>
      <c r="J31" s="80"/>
      <c r="K31" s="77"/>
      <c r="L31" s="25" t="s">
        <v>100</v>
      </c>
      <c r="M31" s="25" t="s">
        <v>101</v>
      </c>
      <c r="N31" s="114">
        <v>1.1000000000000001</v>
      </c>
      <c r="O31" s="114">
        <v>30</v>
      </c>
      <c r="P31" s="116" t="s">
        <v>106</v>
      </c>
      <c r="Q31" s="114">
        <v>0.15</v>
      </c>
      <c r="R31" s="116" t="s">
        <v>106</v>
      </c>
      <c r="S31" s="116" t="s">
        <v>102</v>
      </c>
      <c r="T31" s="122"/>
      <c r="U31" s="114">
        <v>2</v>
      </c>
      <c r="V31" s="116">
        <v>0</v>
      </c>
      <c r="W31" s="114">
        <v>0.1</v>
      </c>
      <c r="X31" s="116" t="s">
        <v>106</v>
      </c>
      <c r="Y31" s="114">
        <v>1</v>
      </c>
      <c r="Z31" s="114">
        <v>2</v>
      </c>
      <c r="AA31" s="116">
        <v>5</v>
      </c>
      <c r="AB31" s="25" t="s">
        <v>102</v>
      </c>
      <c r="AC31" s="25" t="s">
        <v>106</v>
      </c>
      <c r="AD31" s="116" t="s">
        <v>103</v>
      </c>
      <c r="AE31" s="116" t="s">
        <v>117</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16"/>
      <c r="AO31" s="114"/>
      <c r="AP31" s="25" t="s">
        <v>143</v>
      </c>
    </row>
    <row r="32" spans="1:42" ht="30" x14ac:dyDescent="0.25">
      <c r="A32" s="82">
        <v>44440</v>
      </c>
      <c r="B32" s="76"/>
      <c r="C32" s="25">
        <v>14001000</v>
      </c>
      <c r="D32" s="25" t="s">
        <v>92</v>
      </c>
      <c r="E32" s="77"/>
      <c r="F32" s="78"/>
      <c r="G32" s="79"/>
      <c r="H32" s="77" t="s">
        <v>141</v>
      </c>
      <c r="I32" s="77" t="s">
        <v>142</v>
      </c>
      <c r="J32" s="80"/>
      <c r="K32" s="77"/>
      <c r="L32" s="25" t="s">
        <v>96</v>
      </c>
      <c r="M32" s="25" t="s">
        <v>97</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1"/>
      <c r="AO32" s="122"/>
      <c r="AP32" s="25" t="s">
        <v>144</v>
      </c>
    </row>
    <row r="33" spans="1:42" ht="30" x14ac:dyDescent="0.25">
      <c r="A33" s="82">
        <v>44440</v>
      </c>
      <c r="B33" s="76"/>
      <c r="C33" s="25">
        <v>14000997</v>
      </c>
      <c r="D33" s="25" t="s">
        <v>92</v>
      </c>
      <c r="E33" s="77"/>
      <c r="F33" s="78"/>
      <c r="G33" s="79"/>
      <c r="H33" s="77" t="s">
        <v>141</v>
      </c>
      <c r="I33" s="77" t="s">
        <v>142</v>
      </c>
      <c r="J33" s="80"/>
      <c r="K33" s="77"/>
      <c r="L33" s="25" t="s">
        <v>100</v>
      </c>
      <c r="M33" s="25" t="s">
        <v>101</v>
      </c>
      <c r="N33" s="114">
        <v>0.6</v>
      </c>
      <c r="O33" s="114">
        <v>20</v>
      </c>
      <c r="P33" s="116" t="s">
        <v>102</v>
      </c>
      <c r="Q33" s="122"/>
      <c r="R33" s="116" t="s">
        <v>102</v>
      </c>
      <c r="S33" s="116" t="s">
        <v>102</v>
      </c>
      <c r="T33" s="122"/>
      <c r="U33" s="114">
        <v>2.5</v>
      </c>
      <c r="V33" s="116">
        <v>0.5</v>
      </c>
      <c r="W33" s="114">
        <v>0</v>
      </c>
      <c r="X33" s="116" t="s">
        <v>102</v>
      </c>
      <c r="Y33" s="114">
        <v>3.5</v>
      </c>
      <c r="Z33" s="114">
        <v>1.2</v>
      </c>
      <c r="AA33" s="116">
        <v>5</v>
      </c>
      <c r="AB33" s="25" t="s">
        <v>102</v>
      </c>
      <c r="AC33" s="25" t="s">
        <v>102</v>
      </c>
      <c r="AD33" s="116" t="s">
        <v>103</v>
      </c>
      <c r="AE33" s="116" t="s">
        <v>104</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16"/>
      <c r="AO33" s="114"/>
      <c r="AP33" s="25" t="s">
        <v>145</v>
      </c>
    </row>
    <row r="34" spans="1:42" ht="30" x14ac:dyDescent="0.25">
      <c r="A34" s="82">
        <v>44440</v>
      </c>
      <c r="B34" s="76"/>
      <c r="C34" s="25">
        <v>14000988</v>
      </c>
      <c r="D34" s="25" t="s">
        <v>92</v>
      </c>
      <c r="E34" s="77"/>
      <c r="F34" s="78"/>
      <c r="G34" s="79"/>
      <c r="H34" s="77" t="s">
        <v>141</v>
      </c>
      <c r="I34" s="77" t="s">
        <v>142</v>
      </c>
      <c r="J34" s="80"/>
      <c r="K34" s="77"/>
      <c r="L34" s="25" t="s">
        <v>96</v>
      </c>
      <c r="M34" s="25" t="s">
        <v>97</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1"/>
      <c r="AO34" s="122"/>
      <c r="AP34" s="25" t="s">
        <v>146</v>
      </c>
    </row>
    <row r="35" spans="1:42" x14ac:dyDescent="0.25">
      <c r="A35" s="82">
        <v>44441</v>
      </c>
      <c r="B35" s="76"/>
      <c r="C35" s="25">
        <v>1014000931</v>
      </c>
      <c r="D35" s="25" t="s">
        <v>92</v>
      </c>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v>44441</v>
      </c>
      <c r="B36" s="76"/>
      <c r="C36" s="25">
        <v>14000932</v>
      </c>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82">
        <v>44441</v>
      </c>
      <c r="B37" s="76"/>
      <c r="C37" s="25">
        <v>140017241</v>
      </c>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82">
        <v>44441</v>
      </c>
      <c r="B38" s="76"/>
      <c r="C38" s="25">
        <v>14001775</v>
      </c>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82">
        <v>44441</v>
      </c>
      <c r="B39" s="76"/>
      <c r="C39" s="25">
        <v>14001414</v>
      </c>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v>44441</v>
      </c>
      <c r="B40" s="76"/>
      <c r="C40" s="25">
        <v>14001411</v>
      </c>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v>44441</v>
      </c>
      <c r="B41" s="76"/>
      <c r="C41" s="25">
        <v>2021090299</v>
      </c>
      <c r="D41" s="25"/>
      <c r="E41" s="77">
        <v>9</v>
      </c>
      <c r="F41" s="78">
        <v>598684</v>
      </c>
      <c r="G41" s="79">
        <v>5984563</v>
      </c>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82">
        <v>44441</v>
      </c>
      <c r="B42" s="76"/>
      <c r="C42" s="25">
        <v>14000536</v>
      </c>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82">
        <v>44441</v>
      </c>
      <c r="B43" s="76"/>
      <c r="C43" s="25">
        <v>2021090201</v>
      </c>
      <c r="D43" s="25"/>
      <c r="E43" s="77">
        <v>9</v>
      </c>
      <c r="F43" s="78">
        <v>649728</v>
      </c>
      <c r="G43" s="79">
        <v>6029328</v>
      </c>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82">
        <v>44441</v>
      </c>
      <c r="B44" s="76"/>
      <c r="C44" s="116">
        <v>2021090202</v>
      </c>
      <c r="D44" s="25"/>
      <c r="E44" s="77">
        <v>9</v>
      </c>
      <c r="F44" s="78">
        <v>605230</v>
      </c>
      <c r="G44" s="79">
        <v>5992698</v>
      </c>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82">
        <v>44441</v>
      </c>
      <c r="B45" s="76"/>
      <c r="C45" s="25">
        <v>14000312</v>
      </c>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82">
        <v>44441</v>
      </c>
      <c r="B46" s="76"/>
      <c r="C46" s="25">
        <v>14000477</v>
      </c>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82">
        <v>44442</v>
      </c>
      <c r="B47" s="76"/>
      <c r="C47" s="25">
        <v>14000564</v>
      </c>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82">
        <v>44442</v>
      </c>
      <c r="B48" s="76"/>
      <c r="C48" s="25">
        <v>14000689</v>
      </c>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v>44442</v>
      </c>
      <c r="B49" s="76"/>
      <c r="C49" s="25">
        <v>2021090301</v>
      </c>
      <c r="D49" s="25"/>
      <c r="E49" s="77">
        <v>9</v>
      </c>
      <c r="F49" s="78">
        <v>607829</v>
      </c>
      <c r="G49" s="79">
        <v>6016958</v>
      </c>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82">
        <v>44442</v>
      </c>
      <c r="B50" s="76"/>
      <c r="C50" s="25">
        <v>14000684</v>
      </c>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82">
        <v>44442</v>
      </c>
      <c r="B51" s="76"/>
      <c r="C51" s="25">
        <v>2021090302</v>
      </c>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82">
        <v>44442</v>
      </c>
      <c r="B52" s="76"/>
      <c r="C52" s="25">
        <v>14000680</v>
      </c>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82">
        <v>44442</v>
      </c>
      <c r="B53" s="76"/>
      <c r="C53" s="25">
        <v>14001323</v>
      </c>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82">
        <v>44442</v>
      </c>
      <c r="B54" s="76"/>
      <c r="C54" s="25">
        <v>2021090303</v>
      </c>
      <c r="D54" s="25"/>
      <c r="E54" s="77">
        <v>9</v>
      </c>
      <c r="F54" s="78">
        <v>614402</v>
      </c>
      <c r="G54" s="79">
        <v>6010350</v>
      </c>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82">
        <v>44442</v>
      </c>
      <c r="B55" s="76"/>
      <c r="C55" s="25">
        <v>2021090399</v>
      </c>
      <c r="D55" s="25"/>
      <c r="E55" s="77">
        <v>9</v>
      </c>
      <c r="F55" s="78">
        <v>614676</v>
      </c>
      <c r="G55" s="79">
        <v>6007859</v>
      </c>
      <c r="H55" s="77" t="s">
        <v>147</v>
      </c>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82">
        <v>44442</v>
      </c>
      <c r="B56" s="76"/>
      <c r="C56" s="25">
        <v>14001177</v>
      </c>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82">
        <v>44442</v>
      </c>
      <c r="B57" s="76"/>
      <c r="C57" s="25">
        <v>14000690</v>
      </c>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82">
        <v>44442</v>
      </c>
      <c r="B58" s="76"/>
      <c r="C58" s="25">
        <v>14001563</v>
      </c>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82">
        <v>44442</v>
      </c>
      <c r="B59" s="76"/>
      <c r="C59" s="25">
        <v>14000696</v>
      </c>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82">
        <v>44443</v>
      </c>
      <c r="B60" s="76"/>
      <c r="C60" s="25">
        <v>1800422</v>
      </c>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83">
        <v>44444</v>
      </c>
      <c r="C61" s="10">
        <v>1801133</v>
      </c>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82">
        <v>44444</v>
      </c>
      <c r="B62" s="76"/>
      <c r="C62" s="25">
        <v>1801969</v>
      </c>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82">
        <v>44444</v>
      </c>
      <c r="B63" s="76"/>
      <c r="C63" s="25">
        <v>1803928</v>
      </c>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82">
        <v>44444</v>
      </c>
      <c r="B64" s="76"/>
      <c r="C64" s="25">
        <v>1804238</v>
      </c>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82">
        <v>44452</v>
      </c>
      <c r="B65" s="76"/>
      <c r="C65" s="25">
        <v>24704566</v>
      </c>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ht="30" x14ac:dyDescent="0.25">
      <c r="A66" s="82">
        <v>44419</v>
      </c>
      <c r="B66" s="76"/>
      <c r="C66" s="25">
        <v>14000991</v>
      </c>
      <c r="D66" s="25" t="s">
        <v>194</v>
      </c>
      <c r="E66" s="77"/>
      <c r="F66" s="78"/>
      <c r="G66" s="79"/>
      <c r="H66" s="77" t="s">
        <v>141</v>
      </c>
      <c r="I66" s="77" t="s">
        <v>142</v>
      </c>
      <c r="J66" s="80">
        <v>45.5</v>
      </c>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82">
        <v>44446</v>
      </c>
      <c r="B67" s="76"/>
      <c r="C67" s="25">
        <v>14000798</v>
      </c>
      <c r="D67" s="25" t="s">
        <v>204</v>
      </c>
      <c r="E67" s="77"/>
      <c r="F67" s="78"/>
      <c r="G67" s="79"/>
      <c r="H67" s="77" t="s">
        <v>205</v>
      </c>
      <c r="I67" s="77" t="s">
        <v>201</v>
      </c>
      <c r="J67" s="80">
        <v>7.4</v>
      </c>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82">
        <v>44439</v>
      </c>
      <c r="B68" s="76"/>
      <c r="C68" s="25">
        <v>1805531</v>
      </c>
      <c r="D68" s="25" t="s">
        <v>148</v>
      </c>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82">
        <v>44439</v>
      </c>
      <c r="B69" s="76"/>
      <c r="C69" s="25">
        <v>1805529</v>
      </c>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82">
        <v>44439</v>
      </c>
      <c r="B70" s="76"/>
      <c r="C70" s="25">
        <v>2021083150</v>
      </c>
      <c r="D70" s="25"/>
      <c r="E70" s="77">
        <v>9</v>
      </c>
      <c r="F70" s="78">
        <v>691168.99</v>
      </c>
      <c r="G70" s="79">
        <v>6031457.7999999998</v>
      </c>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82">
        <v>44439</v>
      </c>
      <c r="B71" s="76"/>
      <c r="C71" s="25">
        <v>1800049</v>
      </c>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82">
        <v>44439</v>
      </c>
      <c r="B72" s="76"/>
      <c r="C72" s="25">
        <v>1800050</v>
      </c>
      <c r="D72" s="25"/>
      <c r="E72" s="77"/>
      <c r="F72" s="78"/>
      <c r="G72" s="79"/>
      <c r="H72" s="77" t="s">
        <v>169</v>
      </c>
      <c r="I72" s="77" t="s">
        <v>170</v>
      </c>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82">
        <v>44439</v>
      </c>
      <c r="B73" s="76"/>
      <c r="C73" s="25">
        <v>1801117</v>
      </c>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82">
        <v>44439</v>
      </c>
      <c r="B74" s="76"/>
      <c r="C74" s="25">
        <v>1800583</v>
      </c>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82">
        <v>44439</v>
      </c>
      <c r="B75" s="76"/>
      <c r="C75" s="25">
        <v>1803813</v>
      </c>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82">
        <v>44439</v>
      </c>
      <c r="B76" s="76"/>
      <c r="C76" s="25">
        <v>1805000</v>
      </c>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82">
        <v>44439</v>
      </c>
      <c r="B77" s="76"/>
      <c r="C77" s="25">
        <v>1802040</v>
      </c>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82">
        <v>44439</v>
      </c>
      <c r="B78" s="76"/>
      <c r="C78" s="25">
        <v>1802039</v>
      </c>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82">
        <v>44439</v>
      </c>
      <c r="B79" s="76"/>
      <c r="C79" s="25">
        <v>1800356</v>
      </c>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82">
        <v>44439</v>
      </c>
      <c r="B80" s="76"/>
      <c r="C80" s="25">
        <v>1801122</v>
      </c>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82">
        <v>44439</v>
      </c>
      <c r="B81" s="76"/>
      <c r="C81" s="25">
        <v>1800355</v>
      </c>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82">
        <v>44440</v>
      </c>
      <c r="B82" s="76"/>
      <c r="C82" s="25">
        <v>2021090150</v>
      </c>
      <c r="D82" s="25"/>
      <c r="E82" s="77">
        <v>9</v>
      </c>
      <c r="F82" s="78">
        <v>592509.82999999996</v>
      </c>
      <c r="G82" s="79">
        <v>6004822.9500000002</v>
      </c>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82">
        <v>44440</v>
      </c>
      <c r="B83" s="76"/>
      <c r="C83" s="25">
        <v>2021090151</v>
      </c>
      <c r="D83" s="25"/>
      <c r="E83" s="77">
        <v>9</v>
      </c>
      <c r="F83" s="78">
        <v>592921.92000000004</v>
      </c>
      <c r="G83" s="79">
        <v>6005009.3099999996</v>
      </c>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82">
        <v>44440</v>
      </c>
      <c r="B84" s="76"/>
      <c r="C84" s="25">
        <v>2021090152</v>
      </c>
      <c r="D84" s="25"/>
      <c r="E84" s="77">
        <v>9</v>
      </c>
      <c r="F84" s="78">
        <v>595765.26</v>
      </c>
      <c r="G84" s="79">
        <v>6006121.5199999996</v>
      </c>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82">
        <v>44440</v>
      </c>
      <c r="B85" s="76"/>
      <c r="C85" s="25">
        <v>14000956</v>
      </c>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82">
        <v>44440</v>
      </c>
      <c r="B86" s="76"/>
      <c r="C86" s="25">
        <v>2021090153</v>
      </c>
      <c r="D86" s="25"/>
      <c r="E86" s="77">
        <v>9</v>
      </c>
      <c r="F86" s="78">
        <v>596697.94999999995</v>
      </c>
      <c r="G86" s="79">
        <v>6006213.3399999999</v>
      </c>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82">
        <v>44440</v>
      </c>
      <c r="B87" s="76"/>
      <c r="C87" s="25">
        <v>2021090154</v>
      </c>
      <c r="D87" s="25"/>
      <c r="E87" s="77">
        <v>9</v>
      </c>
      <c r="F87" s="78">
        <v>598157.43000000005</v>
      </c>
      <c r="G87" s="79">
        <v>6006328.79</v>
      </c>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82">
        <v>44440</v>
      </c>
      <c r="B88" s="76"/>
      <c r="C88" s="25">
        <v>14000488</v>
      </c>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82">
        <v>44440</v>
      </c>
      <c r="B89" s="76"/>
      <c r="C89" s="25">
        <v>2021090155</v>
      </c>
      <c r="D89" s="25"/>
      <c r="E89" s="77">
        <v>9</v>
      </c>
      <c r="F89" s="78">
        <v>584043.6</v>
      </c>
      <c r="G89" s="79">
        <v>6003654.7599999998</v>
      </c>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82">
        <v>44440</v>
      </c>
      <c r="B90" s="76"/>
      <c r="C90" s="25">
        <v>2021090156</v>
      </c>
      <c r="D90" s="25"/>
      <c r="E90" s="77">
        <v>9</v>
      </c>
      <c r="F90" s="78">
        <v>584889.52</v>
      </c>
      <c r="G90" s="79">
        <v>6003492.1799999997</v>
      </c>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v>44440</v>
      </c>
      <c r="B91" s="76"/>
      <c r="C91" s="25">
        <v>2021090157</v>
      </c>
      <c r="D91" s="25"/>
      <c r="E91" s="77">
        <v>9</v>
      </c>
      <c r="F91" s="78">
        <v>585701.72</v>
      </c>
      <c r="G91" s="79">
        <v>6004479.9100000001</v>
      </c>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v>44440</v>
      </c>
      <c r="B92" s="76"/>
      <c r="C92" s="25">
        <v>14000421</v>
      </c>
      <c r="D92" s="25"/>
      <c r="E92" s="77">
        <v>9</v>
      </c>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82">
        <v>44440</v>
      </c>
      <c r="B93" s="76"/>
      <c r="C93" s="25">
        <v>2021090158</v>
      </c>
      <c r="D93" s="25"/>
      <c r="E93" s="77">
        <v>9</v>
      </c>
      <c r="F93" s="78">
        <v>587095.15</v>
      </c>
      <c r="G93" s="79">
        <v>6005361.8700000001</v>
      </c>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82">
        <v>44440</v>
      </c>
      <c r="B94" s="76"/>
      <c r="C94" s="25">
        <v>2021090158</v>
      </c>
      <c r="D94" s="25"/>
      <c r="E94" s="77">
        <v>9</v>
      </c>
      <c r="F94" s="78">
        <v>587003.87</v>
      </c>
      <c r="G94" s="79">
        <v>6005322.3099999996</v>
      </c>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82">
        <v>44440</v>
      </c>
      <c r="B95" s="76"/>
      <c r="C95" s="25">
        <v>2021090159</v>
      </c>
      <c r="D95" s="25"/>
      <c r="E95" s="77">
        <v>9</v>
      </c>
      <c r="F95" s="78">
        <v>587080.73</v>
      </c>
      <c r="G95" s="79">
        <v>6005468.4400000004</v>
      </c>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82">
        <v>44440</v>
      </c>
      <c r="B96" s="76"/>
      <c r="C96" s="25">
        <v>2021090160</v>
      </c>
      <c r="D96" s="25"/>
      <c r="E96" s="77">
        <v>9</v>
      </c>
      <c r="F96" s="78">
        <v>587368.16</v>
      </c>
      <c r="G96" s="79">
        <v>6005868.9699999997</v>
      </c>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82">
        <v>44440</v>
      </c>
      <c r="B97" s="76"/>
      <c r="C97" s="25">
        <v>2021090161</v>
      </c>
      <c r="D97" s="25"/>
      <c r="E97" s="77">
        <v>9</v>
      </c>
      <c r="F97" s="78">
        <v>587307.55000000005</v>
      </c>
      <c r="G97" s="79">
        <v>6005829.9900000002</v>
      </c>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82">
        <v>44440</v>
      </c>
      <c r="B98" s="76"/>
      <c r="C98" s="25">
        <v>14000494</v>
      </c>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82">
        <v>44440</v>
      </c>
      <c r="B99" s="76"/>
      <c r="C99" s="25">
        <v>14000481</v>
      </c>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82">
        <v>44440</v>
      </c>
      <c r="B100" s="76"/>
      <c r="C100" s="25">
        <v>14000486</v>
      </c>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82">
        <v>44440</v>
      </c>
      <c r="B101" s="76"/>
      <c r="C101" s="25">
        <v>14000487</v>
      </c>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25" t="s">
        <v>149</v>
      </c>
    </row>
    <row r="102" spans="1:42" x14ac:dyDescent="0.25">
      <c r="A102" s="82">
        <v>44440</v>
      </c>
      <c r="B102" s="76"/>
      <c r="C102" s="25">
        <v>14000492</v>
      </c>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82">
        <v>44440</v>
      </c>
      <c r="B103" s="76"/>
      <c r="C103" s="25">
        <v>14000507</v>
      </c>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82">
        <v>44440</v>
      </c>
      <c r="B104" s="76"/>
      <c r="C104" s="25">
        <v>14001125</v>
      </c>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82">
        <v>44441</v>
      </c>
      <c r="B105" s="76"/>
      <c r="C105" s="25">
        <v>14001161</v>
      </c>
      <c r="D105" s="25"/>
      <c r="E105" s="77"/>
      <c r="F105" s="78"/>
      <c r="G105" s="79"/>
      <c r="H105" s="77" t="s">
        <v>203</v>
      </c>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82">
        <v>44441</v>
      </c>
      <c r="B106" s="76"/>
      <c r="C106" s="25">
        <v>14000576</v>
      </c>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82">
        <v>44441</v>
      </c>
      <c r="B107" s="76"/>
      <c r="C107" s="25">
        <v>2021090250</v>
      </c>
      <c r="D107" s="25"/>
      <c r="E107" s="77">
        <v>9</v>
      </c>
      <c r="F107" s="78">
        <v>602775.80000000005</v>
      </c>
      <c r="G107" s="79">
        <v>5984983.3899999997</v>
      </c>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82">
        <v>44441</v>
      </c>
      <c r="B108" s="76"/>
      <c r="C108" s="25">
        <v>14000582</v>
      </c>
      <c r="D108" s="25"/>
      <c r="E108" s="77">
        <v>9</v>
      </c>
      <c r="F108" s="78">
        <v>601366.59</v>
      </c>
      <c r="G108" s="79">
        <v>5986579.6200000001</v>
      </c>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82">
        <v>44441</v>
      </c>
      <c r="B109" s="76"/>
      <c r="C109" s="25">
        <v>14001163</v>
      </c>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82">
        <v>44441</v>
      </c>
      <c r="B110" s="76"/>
      <c r="C110" s="25">
        <v>14001078</v>
      </c>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82">
        <v>44441</v>
      </c>
      <c r="B111" s="76"/>
      <c r="C111" s="25">
        <v>14001080</v>
      </c>
      <c r="D111" s="25"/>
      <c r="E111" s="77">
        <v>9</v>
      </c>
      <c r="F111" s="78">
        <v>605496.69999999995</v>
      </c>
      <c r="G111" s="79">
        <v>5986869.8399999999</v>
      </c>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82">
        <v>44441</v>
      </c>
      <c r="B112" s="76"/>
      <c r="C112" s="25">
        <v>14001077</v>
      </c>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ht="30" x14ac:dyDescent="0.25">
      <c r="A113" s="82">
        <v>44441</v>
      </c>
      <c r="B113" s="76"/>
      <c r="C113" s="25">
        <v>14000865</v>
      </c>
      <c r="D113" s="25"/>
      <c r="E113" s="77">
        <v>9</v>
      </c>
      <c r="F113" s="78">
        <v>606426.18000000005</v>
      </c>
      <c r="G113" s="79">
        <v>5986782</v>
      </c>
      <c r="H113" s="77" t="s">
        <v>202</v>
      </c>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82">
        <v>44441</v>
      </c>
      <c r="B114" s="76"/>
      <c r="C114" s="25">
        <v>14000535</v>
      </c>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82">
        <v>44441</v>
      </c>
      <c r="B115" s="76"/>
      <c r="C115" s="25">
        <v>14000450</v>
      </c>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82">
        <v>44441</v>
      </c>
      <c r="B116" s="76"/>
      <c r="C116" s="25">
        <v>2021090251</v>
      </c>
      <c r="D116" s="25"/>
      <c r="E116" s="77">
        <v>9</v>
      </c>
      <c r="F116" s="78">
        <v>599738.18999999994</v>
      </c>
      <c r="G116" s="79">
        <v>5986408.5300000003</v>
      </c>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82">
        <v>44441</v>
      </c>
      <c r="B117" s="76"/>
      <c r="C117" s="25">
        <v>14001052</v>
      </c>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82">
        <v>44441</v>
      </c>
      <c r="B118" s="76"/>
      <c r="C118" s="25">
        <v>14000777</v>
      </c>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82">
        <v>44441</v>
      </c>
      <c r="B119" s="76"/>
      <c r="C119" s="25">
        <v>14000779</v>
      </c>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82">
        <v>44442</v>
      </c>
      <c r="B120" s="76"/>
      <c r="C120" s="25">
        <v>14000565</v>
      </c>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82">
        <v>44442</v>
      </c>
      <c r="B121" s="76"/>
      <c r="C121" s="25">
        <v>14000562</v>
      </c>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82">
        <v>44442</v>
      </c>
      <c r="B122" s="76"/>
      <c r="C122" s="25">
        <v>2021090350</v>
      </c>
      <c r="D122" s="25"/>
      <c r="E122" s="77">
        <v>9</v>
      </c>
      <c r="F122" s="78">
        <v>607585</v>
      </c>
      <c r="G122" s="79">
        <v>6016381</v>
      </c>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82">
        <v>44442</v>
      </c>
      <c r="B123" s="76"/>
      <c r="C123" s="25">
        <v>14000685</v>
      </c>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82">
        <v>44442</v>
      </c>
      <c r="B124" s="76"/>
      <c r="C124" s="25">
        <v>14000669</v>
      </c>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82">
        <v>44442</v>
      </c>
      <c r="B125" s="76"/>
      <c r="C125" s="25">
        <v>14000688</v>
      </c>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82">
        <v>44442</v>
      </c>
      <c r="B126" s="76"/>
      <c r="C126" s="25">
        <v>14000546</v>
      </c>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82">
        <v>44442</v>
      </c>
      <c r="B127" s="76"/>
      <c r="C127" s="25">
        <v>14001769</v>
      </c>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82">
        <v>44442</v>
      </c>
      <c r="B128" s="76"/>
      <c r="C128" s="25">
        <v>14001103</v>
      </c>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82">
        <v>44442</v>
      </c>
      <c r="B129" s="76"/>
      <c r="C129" s="25">
        <v>14001175</v>
      </c>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82">
        <v>44442</v>
      </c>
      <c r="B130" s="76"/>
      <c r="C130" s="25">
        <v>14000677</v>
      </c>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82">
        <v>44442</v>
      </c>
      <c r="B131" s="76"/>
      <c r="C131" s="25">
        <v>14000697</v>
      </c>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82">
        <v>44442</v>
      </c>
      <c r="B132" s="76"/>
      <c r="C132" s="25">
        <v>14000692</v>
      </c>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82">
        <v>44442</v>
      </c>
      <c r="B133" s="76"/>
      <c r="C133" s="25">
        <v>14000683</v>
      </c>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82">
        <v>44442</v>
      </c>
      <c r="B134" s="76"/>
      <c r="C134" s="25">
        <v>2021090351</v>
      </c>
      <c r="D134" s="25"/>
      <c r="E134" s="77">
        <v>9</v>
      </c>
      <c r="F134" s="78">
        <v>628700</v>
      </c>
      <c r="G134" s="79">
        <v>6009766</v>
      </c>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82">
        <v>44442</v>
      </c>
      <c r="B135" s="76"/>
      <c r="C135" s="25">
        <v>2021090351</v>
      </c>
      <c r="D135" s="25"/>
      <c r="E135" s="77">
        <v>9</v>
      </c>
      <c r="F135" s="78">
        <v>673235</v>
      </c>
      <c r="G135" s="79">
        <v>6043218</v>
      </c>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82">
        <v>44444</v>
      </c>
      <c r="B136" s="76"/>
      <c r="C136" s="25">
        <v>1801166</v>
      </c>
      <c r="D136" s="25"/>
      <c r="E136" s="77"/>
      <c r="F136" s="78"/>
      <c r="G136" s="79"/>
      <c r="H136" s="77" t="s">
        <v>164</v>
      </c>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82">
        <v>44444</v>
      </c>
      <c r="B137" s="76"/>
      <c r="C137" s="25">
        <v>1801165</v>
      </c>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82">
        <v>44445</v>
      </c>
      <c r="B138" s="76"/>
      <c r="C138" s="25">
        <v>14000395</v>
      </c>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82">
        <v>44445</v>
      </c>
      <c r="B139" s="76"/>
      <c r="C139" s="25">
        <v>14000994</v>
      </c>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82">
        <v>44445</v>
      </c>
      <c r="B140" s="76"/>
      <c r="C140" s="25">
        <v>14000398</v>
      </c>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82">
        <v>44445</v>
      </c>
      <c r="B141" s="76"/>
      <c r="C141" s="25">
        <v>14000377</v>
      </c>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82">
        <v>44445</v>
      </c>
      <c r="B142" s="76"/>
      <c r="C142" s="25">
        <v>14000375</v>
      </c>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82">
        <v>44445</v>
      </c>
      <c r="B143" s="76"/>
      <c r="C143" s="25">
        <v>14000382</v>
      </c>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82">
        <v>44445</v>
      </c>
      <c r="B144" s="76"/>
      <c r="C144" s="25">
        <v>14000379</v>
      </c>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ht="30" x14ac:dyDescent="0.25">
      <c r="A145" s="117">
        <v>44447</v>
      </c>
      <c r="B145" s="76"/>
      <c r="C145" s="25">
        <v>14000882</v>
      </c>
      <c r="D145" s="25"/>
      <c r="E145" s="77"/>
      <c r="F145" s="78"/>
      <c r="G145" s="79"/>
      <c r="H145" s="77" t="s">
        <v>141</v>
      </c>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v>44451</v>
      </c>
      <c r="B146" s="76"/>
      <c r="C146" s="25">
        <v>1802760</v>
      </c>
      <c r="D146" s="25"/>
      <c r="E146" s="77"/>
      <c r="F146" s="78"/>
      <c r="G146" s="79"/>
      <c r="H146" s="77" t="s">
        <v>150</v>
      </c>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v>44451</v>
      </c>
      <c r="B147" s="76"/>
      <c r="C147" s="25">
        <v>1805553</v>
      </c>
      <c r="D147" s="25"/>
      <c r="E147" s="77"/>
      <c r="F147" s="78"/>
      <c r="G147" s="79"/>
      <c r="H147" s="77" t="s">
        <v>151</v>
      </c>
      <c r="I147" s="77" t="s">
        <v>152</v>
      </c>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116"/>
      <c r="AO147" s="114"/>
      <c r="AP147" s="25"/>
    </row>
    <row r="148" spans="1:42" x14ac:dyDescent="0.25">
      <c r="A148" s="82">
        <v>44453</v>
      </c>
      <c r="B148" s="76"/>
      <c r="C148" s="25">
        <v>2021091450</v>
      </c>
      <c r="D148" s="25"/>
      <c r="E148" s="77"/>
      <c r="F148" s="78"/>
      <c r="G148" s="79"/>
      <c r="H148" s="77" t="s">
        <v>153</v>
      </c>
      <c r="I148" s="77" t="s">
        <v>154</v>
      </c>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116"/>
      <c r="AO148" s="114"/>
      <c r="AP148" s="25"/>
    </row>
    <row r="149" spans="1:42" ht="30" x14ac:dyDescent="0.25">
      <c r="A149" s="82">
        <v>44453</v>
      </c>
      <c r="B149" s="76"/>
      <c r="C149" s="25">
        <v>1805573</v>
      </c>
      <c r="D149" s="25"/>
      <c r="E149" s="77"/>
      <c r="F149" s="78"/>
      <c r="G149" s="79"/>
      <c r="H149" s="77" t="s">
        <v>155</v>
      </c>
      <c r="I149" s="77" t="s">
        <v>156</v>
      </c>
      <c r="J149" s="80"/>
      <c r="K149" s="77"/>
      <c r="L149" s="25" t="s">
        <v>120</v>
      </c>
      <c r="M149" s="25" t="s">
        <v>121</v>
      </c>
      <c r="N149" s="122"/>
      <c r="O149" s="122"/>
      <c r="P149" s="121"/>
      <c r="Q149" s="122"/>
      <c r="R149" s="121"/>
      <c r="S149" s="121"/>
      <c r="T149" s="122"/>
      <c r="U149" s="122"/>
      <c r="V149" s="121"/>
      <c r="W149" s="122"/>
      <c r="X149" s="121"/>
      <c r="Y149" s="122"/>
      <c r="Z149" s="122"/>
      <c r="AA149" s="121"/>
      <c r="AB149" s="25"/>
      <c r="AC149" s="25"/>
      <c r="AD149" s="121"/>
      <c r="AE149" s="121"/>
      <c r="AF149" s="22">
        <f t="shared" si="25"/>
        <v>0</v>
      </c>
      <c r="AG149" s="15">
        <f t="shared" si="18"/>
        <v>0</v>
      </c>
      <c r="AH149" s="7">
        <f t="shared" si="19"/>
        <v>0</v>
      </c>
      <c r="AI149" s="7">
        <f t="shared" si="20"/>
        <v>0</v>
      </c>
      <c r="AJ149" s="7">
        <f t="shared" si="21"/>
        <v>0</v>
      </c>
      <c r="AK149" s="12">
        <f t="shared" si="22"/>
        <v>0</v>
      </c>
      <c r="AL149" s="14">
        <f t="shared" si="24"/>
        <v>0</v>
      </c>
      <c r="AM149" s="16" t="str">
        <f t="shared" si="23"/>
        <v>Unknown</v>
      </c>
      <c r="AN149" s="116"/>
      <c r="AO149" s="114"/>
      <c r="AP149" s="25" t="s">
        <v>157</v>
      </c>
    </row>
    <row r="150" spans="1:42" x14ac:dyDescent="0.25">
      <c r="A150" s="82">
        <v>44454</v>
      </c>
      <c r="B150" s="76"/>
      <c r="C150" s="25">
        <v>1805549</v>
      </c>
      <c r="D150" s="25" t="s">
        <v>148</v>
      </c>
      <c r="E150" s="77"/>
      <c r="F150" s="78"/>
      <c r="G150" s="79"/>
      <c r="H150" s="77" t="s">
        <v>158</v>
      </c>
      <c r="I150" s="77" t="s">
        <v>94</v>
      </c>
      <c r="J150" s="80"/>
      <c r="K150" s="77" t="s">
        <v>95</v>
      </c>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116"/>
      <c r="AO150" s="114"/>
      <c r="AP150" s="25"/>
    </row>
    <row r="151" spans="1:42" ht="30" x14ac:dyDescent="0.25">
      <c r="A151" s="82">
        <v>44455</v>
      </c>
      <c r="B151" s="76"/>
      <c r="C151" s="25">
        <v>2021091650</v>
      </c>
      <c r="D151" s="25" t="s">
        <v>148</v>
      </c>
      <c r="E151" s="77">
        <v>9</v>
      </c>
      <c r="F151" s="78">
        <v>589659</v>
      </c>
      <c r="G151" s="79">
        <v>6123249</v>
      </c>
      <c r="H151" s="77" t="s">
        <v>159</v>
      </c>
      <c r="I151" s="77"/>
      <c r="J151" s="80"/>
      <c r="K151" s="77"/>
      <c r="L151" s="25" t="s">
        <v>96</v>
      </c>
      <c r="M151" s="25" t="s">
        <v>97</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row>
    <row r="152" spans="1:42" x14ac:dyDescent="0.25">
      <c r="A152" s="117">
        <v>44455</v>
      </c>
      <c r="B152" s="76"/>
      <c r="C152" s="25">
        <v>1801773</v>
      </c>
      <c r="D152" s="25" t="s">
        <v>160</v>
      </c>
      <c r="E152" s="77"/>
      <c r="F152" s="78"/>
      <c r="G152" s="79"/>
      <c r="H152" s="77" t="s">
        <v>161</v>
      </c>
      <c r="I152" s="77" t="s">
        <v>162</v>
      </c>
      <c r="J152" s="80"/>
      <c r="K152" s="77"/>
      <c r="L152" s="25" t="s">
        <v>120</v>
      </c>
      <c r="M152" s="25" t="s">
        <v>121</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163</v>
      </c>
    </row>
    <row r="153" spans="1:42" x14ac:dyDescent="0.25">
      <c r="A153" s="82">
        <v>44444</v>
      </c>
      <c r="B153" s="76"/>
      <c r="C153" s="25">
        <v>1800048</v>
      </c>
      <c r="D153" s="25" t="s">
        <v>92</v>
      </c>
      <c r="E153" s="77"/>
      <c r="F153" s="78"/>
      <c r="G153" s="79"/>
      <c r="H153" s="77" t="s">
        <v>164</v>
      </c>
      <c r="I153" s="77" t="s">
        <v>170</v>
      </c>
      <c r="J153" s="80"/>
      <c r="K153" s="77" t="s">
        <v>166</v>
      </c>
      <c r="L153" s="25" t="s">
        <v>100</v>
      </c>
      <c r="M153" s="25" t="s">
        <v>101</v>
      </c>
      <c r="N153" s="114">
        <v>2.5</v>
      </c>
      <c r="O153" s="114">
        <v>25.13</v>
      </c>
      <c r="P153" s="116" t="s">
        <v>102</v>
      </c>
      <c r="Q153" s="122"/>
      <c r="R153" s="116" t="s">
        <v>102</v>
      </c>
      <c r="S153" s="116" t="s">
        <v>106</v>
      </c>
      <c r="T153" s="114">
        <v>30</v>
      </c>
      <c r="U153" s="114">
        <v>1</v>
      </c>
      <c r="V153" s="116">
        <v>0</v>
      </c>
      <c r="W153" s="114">
        <v>0.09</v>
      </c>
      <c r="X153" s="116" t="s">
        <v>106</v>
      </c>
      <c r="Y153" s="114">
        <v>1.52</v>
      </c>
      <c r="Z153" s="114">
        <v>5.48</v>
      </c>
      <c r="AA153" s="116">
        <v>3.5</v>
      </c>
      <c r="AB153" s="25" t="s">
        <v>102</v>
      </c>
      <c r="AC153" s="25" t="s">
        <v>106</v>
      </c>
      <c r="AD153" s="116" t="s">
        <v>103</v>
      </c>
      <c r="AE153" s="116" t="s">
        <v>167</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c r="AO153" s="114"/>
      <c r="AP153" s="25" t="s">
        <v>171</v>
      </c>
    </row>
    <row r="154" spans="1:42" x14ac:dyDescent="0.25">
      <c r="A154" s="117">
        <v>44444</v>
      </c>
      <c r="B154" s="76"/>
      <c r="C154" s="25">
        <v>1800193</v>
      </c>
      <c r="D154" s="25" t="s">
        <v>92</v>
      </c>
      <c r="E154" s="77"/>
      <c r="F154" s="78"/>
      <c r="G154" s="79"/>
      <c r="H154" s="77" t="s">
        <v>164</v>
      </c>
      <c r="I154" s="77" t="s">
        <v>165</v>
      </c>
      <c r="J154" s="80"/>
      <c r="K154" s="77" t="s">
        <v>166</v>
      </c>
      <c r="L154" s="25" t="s">
        <v>100</v>
      </c>
      <c r="M154" s="25" t="s">
        <v>101</v>
      </c>
      <c r="N154" s="114">
        <v>3.7</v>
      </c>
      <c r="O154" s="114">
        <v>20.89</v>
      </c>
      <c r="P154" s="116" t="s">
        <v>102</v>
      </c>
      <c r="Q154" s="122"/>
      <c r="R154" s="116" t="s">
        <v>102</v>
      </c>
      <c r="S154" s="116" t="s">
        <v>102</v>
      </c>
      <c r="T154" s="122"/>
      <c r="U154" s="114">
        <v>1</v>
      </c>
      <c r="V154" s="116">
        <v>0.5</v>
      </c>
      <c r="W154" s="114">
        <v>0.25</v>
      </c>
      <c r="X154" s="116" t="s">
        <v>102</v>
      </c>
      <c r="Y154" s="114">
        <v>1.46</v>
      </c>
      <c r="Z154" s="114">
        <v>4.9000000000000004</v>
      </c>
      <c r="AA154" s="116">
        <v>2.83</v>
      </c>
      <c r="AB154" s="25" t="s">
        <v>102</v>
      </c>
      <c r="AC154" s="25" t="s">
        <v>106</v>
      </c>
      <c r="AD154" s="116" t="s">
        <v>103</v>
      </c>
      <c r="AE154" s="116" t="s">
        <v>167</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c r="AO154" s="114"/>
      <c r="AP154" s="25" t="s">
        <v>168</v>
      </c>
    </row>
    <row r="155" spans="1:42" ht="30" x14ac:dyDescent="0.25">
      <c r="A155" s="82">
        <v>44445</v>
      </c>
      <c r="B155" s="76"/>
      <c r="C155" s="25">
        <v>14000394</v>
      </c>
      <c r="D155" s="25" t="s">
        <v>92</v>
      </c>
      <c r="E155" s="77"/>
      <c r="F155" s="78"/>
      <c r="G155" s="79"/>
      <c r="H155" s="77" t="s">
        <v>173</v>
      </c>
      <c r="I155" s="77" t="s">
        <v>174</v>
      </c>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116"/>
      <c r="AO155" s="114"/>
      <c r="AP155" s="25" t="s">
        <v>172</v>
      </c>
    </row>
    <row r="156" spans="1:42" ht="30" x14ac:dyDescent="0.25">
      <c r="A156" s="82">
        <v>44445</v>
      </c>
      <c r="B156" s="76"/>
      <c r="C156" s="25">
        <v>14001409</v>
      </c>
      <c r="D156" s="25" t="s">
        <v>92</v>
      </c>
      <c r="E156" s="77"/>
      <c r="F156" s="78"/>
      <c r="G156" s="79"/>
      <c r="H156" s="77" t="s">
        <v>173</v>
      </c>
      <c r="I156" s="77" t="s">
        <v>135</v>
      </c>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116"/>
      <c r="AO156" s="114"/>
      <c r="AP156" s="25"/>
    </row>
    <row r="157" spans="1:42" ht="30" x14ac:dyDescent="0.25">
      <c r="A157" s="82">
        <v>44445</v>
      </c>
      <c r="B157" s="76"/>
      <c r="C157" s="25">
        <v>14001468</v>
      </c>
      <c r="D157" s="25" t="s">
        <v>92</v>
      </c>
      <c r="E157" s="77"/>
      <c r="F157" s="78"/>
      <c r="G157" s="79"/>
      <c r="H157" s="77" t="s">
        <v>173</v>
      </c>
      <c r="I157" s="77" t="s">
        <v>135</v>
      </c>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116"/>
      <c r="AO157" s="114"/>
      <c r="AP157" s="25"/>
    </row>
    <row r="158" spans="1:42" ht="30" x14ac:dyDescent="0.25">
      <c r="A158" s="82">
        <v>44445</v>
      </c>
      <c r="B158" s="76"/>
      <c r="C158" s="25">
        <v>14000399</v>
      </c>
      <c r="D158" s="25" t="s">
        <v>92</v>
      </c>
      <c r="E158" s="77"/>
      <c r="F158" s="78"/>
      <c r="G158" s="79"/>
      <c r="H158" s="77" t="s">
        <v>175</v>
      </c>
      <c r="I158" s="77" t="s">
        <v>174</v>
      </c>
      <c r="J158" s="80"/>
      <c r="K158" s="77"/>
      <c r="L158" s="25" t="s">
        <v>96</v>
      </c>
      <c r="M158" s="25" t="s">
        <v>97</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row>
    <row r="159" spans="1:42" x14ac:dyDescent="0.25">
      <c r="A159" s="82">
        <v>44445</v>
      </c>
      <c r="B159" s="76"/>
      <c r="C159" s="25">
        <v>14001432</v>
      </c>
      <c r="D159" s="25" t="s">
        <v>92</v>
      </c>
      <c r="E159" s="77"/>
      <c r="F159" s="78"/>
      <c r="G159" s="79"/>
      <c r="H159" s="77" t="s">
        <v>176</v>
      </c>
      <c r="I159" s="77" t="s">
        <v>174</v>
      </c>
      <c r="J159" s="80"/>
      <c r="K159" s="77"/>
      <c r="L159" s="25" t="s">
        <v>96</v>
      </c>
      <c r="M159" s="25" t="s">
        <v>97</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1"/>
      <c r="AO159" s="122"/>
      <c r="AP159" s="25"/>
    </row>
    <row r="160" spans="1:42" ht="30" x14ac:dyDescent="0.25">
      <c r="A160" s="82">
        <v>44445</v>
      </c>
      <c r="B160" s="76"/>
      <c r="C160" s="25">
        <v>14000381</v>
      </c>
      <c r="D160" s="25" t="s">
        <v>177</v>
      </c>
      <c r="E160" s="77"/>
      <c r="F160" s="78"/>
      <c r="G160" s="79"/>
      <c r="H160" s="77" t="s">
        <v>173</v>
      </c>
      <c r="I160" s="77" t="s">
        <v>174</v>
      </c>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116"/>
      <c r="AO160" s="114"/>
      <c r="AP160" s="25"/>
    </row>
    <row r="161" spans="1:42" ht="30" x14ac:dyDescent="0.25">
      <c r="A161" s="82">
        <v>44445</v>
      </c>
      <c r="B161" s="76"/>
      <c r="C161" s="25">
        <v>14000389</v>
      </c>
      <c r="D161" s="25" t="s">
        <v>177</v>
      </c>
      <c r="E161" s="77"/>
      <c r="F161" s="78"/>
      <c r="G161" s="79"/>
      <c r="H161" s="77" t="s">
        <v>173</v>
      </c>
      <c r="I161" s="77" t="s">
        <v>174</v>
      </c>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116"/>
      <c r="AO161" s="114"/>
      <c r="AP161" s="25"/>
    </row>
    <row r="162" spans="1:42" ht="30" x14ac:dyDescent="0.25">
      <c r="A162" s="82">
        <v>44445</v>
      </c>
      <c r="B162" s="76"/>
      <c r="C162" s="25">
        <v>14000383</v>
      </c>
      <c r="D162" s="25" t="s">
        <v>178</v>
      </c>
      <c r="E162" s="77"/>
      <c r="F162" s="78"/>
      <c r="G162" s="79"/>
      <c r="H162" s="77" t="s">
        <v>175</v>
      </c>
      <c r="I162" s="77" t="s">
        <v>174</v>
      </c>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116"/>
      <c r="AO162" s="114"/>
      <c r="AP162" s="25"/>
    </row>
    <row r="163" spans="1:42" ht="30" x14ac:dyDescent="0.25">
      <c r="A163" s="82">
        <v>44445</v>
      </c>
      <c r="B163" s="76"/>
      <c r="C163" s="25">
        <v>14000390</v>
      </c>
      <c r="D163" s="25" t="s">
        <v>177</v>
      </c>
      <c r="E163" s="77"/>
      <c r="F163" s="78"/>
      <c r="G163" s="79"/>
      <c r="H163" s="77" t="s">
        <v>175</v>
      </c>
      <c r="I163" s="77" t="s">
        <v>174</v>
      </c>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116"/>
      <c r="AO163" s="114"/>
      <c r="AP163" s="25"/>
    </row>
    <row r="164" spans="1:42" ht="30" x14ac:dyDescent="0.25">
      <c r="A164" s="82">
        <v>44445</v>
      </c>
      <c r="B164" s="76"/>
      <c r="C164" s="25">
        <v>14000392</v>
      </c>
      <c r="D164" s="25" t="s">
        <v>98</v>
      </c>
      <c r="E164" s="77"/>
      <c r="F164" s="78"/>
      <c r="G164" s="79"/>
      <c r="H164" s="77" t="s">
        <v>175</v>
      </c>
      <c r="I164" s="77" t="s">
        <v>174</v>
      </c>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116"/>
      <c r="AO164" s="114"/>
      <c r="AP164" s="25"/>
    </row>
    <row r="165" spans="1:42" ht="30" x14ac:dyDescent="0.25">
      <c r="A165" s="82">
        <v>44446</v>
      </c>
      <c r="B165" s="76"/>
      <c r="C165" s="25">
        <v>14000718</v>
      </c>
      <c r="D165" s="25" t="s">
        <v>92</v>
      </c>
      <c r="E165" s="77">
        <v>9</v>
      </c>
      <c r="F165" s="78">
        <v>643962</v>
      </c>
      <c r="G165" s="79">
        <v>6001978</v>
      </c>
      <c r="H165" s="77" t="s">
        <v>179</v>
      </c>
      <c r="I165" s="77" t="s">
        <v>180</v>
      </c>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116"/>
      <c r="AO165" s="114"/>
      <c r="AP165" s="25"/>
    </row>
    <row r="166" spans="1:42" x14ac:dyDescent="0.25">
      <c r="A166" s="82">
        <v>44446</v>
      </c>
      <c r="B166" s="76"/>
      <c r="C166" s="25">
        <v>14000013</v>
      </c>
      <c r="D166" s="25" t="s">
        <v>92</v>
      </c>
      <c r="E166" s="77"/>
      <c r="F166" s="78"/>
      <c r="G166" s="79"/>
      <c r="H166" s="77" t="s">
        <v>181</v>
      </c>
      <c r="I166" s="77" t="s">
        <v>182</v>
      </c>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116"/>
      <c r="AO166" s="114"/>
      <c r="AP166" s="25"/>
    </row>
    <row r="167" spans="1:42" ht="30" x14ac:dyDescent="0.25">
      <c r="A167" s="82">
        <v>44447</v>
      </c>
      <c r="B167" s="76"/>
      <c r="C167" s="25">
        <v>14000991</v>
      </c>
      <c r="D167" s="25" t="s">
        <v>92</v>
      </c>
      <c r="E167" s="77"/>
      <c r="F167" s="78"/>
      <c r="G167" s="79"/>
      <c r="H167" s="77" t="s">
        <v>141</v>
      </c>
      <c r="I167" s="77" t="s">
        <v>182</v>
      </c>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116"/>
      <c r="AO167" s="114"/>
      <c r="AP167" s="25"/>
    </row>
    <row r="168" spans="1:42" x14ac:dyDescent="0.25">
      <c r="A168" s="82">
        <v>44447</v>
      </c>
      <c r="B168" s="76"/>
      <c r="C168" s="25">
        <v>14000764</v>
      </c>
      <c r="D168" s="25" t="s">
        <v>92</v>
      </c>
      <c r="E168" s="77"/>
      <c r="F168" s="78"/>
      <c r="G168" s="79"/>
      <c r="H168" s="77" t="s">
        <v>183</v>
      </c>
      <c r="I168" s="77" t="s">
        <v>184</v>
      </c>
      <c r="J168" s="80"/>
      <c r="K168" s="77"/>
      <c r="L168" s="25" t="s">
        <v>96</v>
      </c>
      <c r="M168" s="25" t="s">
        <v>185</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row>
    <row r="169" spans="1:42" ht="30" x14ac:dyDescent="0.25">
      <c r="A169" s="82">
        <v>44447</v>
      </c>
      <c r="B169" s="76"/>
      <c r="C169" s="25">
        <v>1014001094</v>
      </c>
      <c r="D169" s="25" t="s">
        <v>186</v>
      </c>
      <c r="E169" s="77"/>
      <c r="F169" s="78"/>
      <c r="G169" s="79"/>
      <c r="H169" s="77" t="s">
        <v>187</v>
      </c>
      <c r="I169" s="77" t="s">
        <v>135</v>
      </c>
      <c r="J169" s="80"/>
      <c r="K169" s="77"/>
      <c r="L169" s="25" t="s">
        <v>100</v>
      </c>
      <c r="M169" s="25" t="s">
        <v>101</v>
      </c>
      <c r="N169" s="114">
        <v>1.6</v>
      </c>
      <c r="O169" s="114">
        <v>13.5</v>
      </c>
      <c r="P169" s="116" t="s">
        <v>102</v>
      </c>
      <c r="Q169" s="122"/>
      <c r="R169" s="116" t="s">
        <v>102</v>
      </c>
      <c r="S169" s="116" t="s">
        <v>102</v>
      </c>
      <c r="T169" s="122"/>
      <c r="U169" s="114">
        <v>1</v>
      </c>
      <c r="V169" s="116">
        <v>0.54</v>
      </c>
      <c r="W169" s="114">
        <v>0.6</v>
      </c>
      <c r="X169" s="116" t="s">
        <v>102</v>
      </c>
      <c r="Y169" s="114">
        <v>5</v>
      </c>
      <c r="Z169" s="114">
        <v>2.56</v>
      </c>
      <c r="AA169" s="116">
        <v>4.5</v>
      </c>
      <c r="AB169" s="25" t="s">
        <v>102</v>
      </c>
      <c r="AC169" s="25" t="s">
        <v>106</v>
      </c>
      <c r="AD169" s="116"/>
      <c r="AE169" s="116" t="s">
        <v>117</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16"/>
      <c r="AO169" s="114"/>
      <c r="AP169" s="25" t="s">
        <v>188</v>
      </c>
    </row>
    <row r="170" spans="1:42" x14ac:dyDescent="0.25">
      <c r="A170" s="82">
        <v>44450</v>
      </c>
      <c r="B170" s="76"/>
      <c r="C170" s="25">
        <v>1800191</v>
      </c>
      <c r="D170" s="25" t="s">
        <v>92</v>
      </c>
      <c r="E170" s="77"/>
      <c r="F170" s="78"/>
      <c r="G170" s="79"/>
      <c r="H170" s="77" t="s">
        <v>189</v>
      </c>
      <c r="I170" s="77" t="s">
        <v>190</v>
      </c>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116"/>
      <c r="AO170" s="114"/>
      <c r="AP170" s="25"/>
    </row>
    <row r="171" spans="1:42" x14ac:dyDescent="0.25">
      <c r="A171" s="82">
        <v>44451</v>
      </c>
      <c r="B171" s="76"/>
      <c r="C171" s="25">
        <v>1802488</v>
      </c>
      <c r="D171" s="25" t="s">
        <v>92</v>
      </c>
      <c r="E171" s="77"/>
      <c r="F171" s="78"/>
      <c r="G171" s="79"/>
      <c r="H171" s="77" t="s">
        <v>191</v>
      </c>
      <c r="I171" s="77" t="s">
        <v>192</v>
      </c>
      <c r="J171" s="80"/>
      <c r="K171" s="77"/>
      <c r="L171" s="25" t="s">
        <v>100</v>
      </c>
      <c r="M171" s="25" t="s">
        <v>101</v>
      </c>
      <c r="N171" s="114">
        <v>1.3</v>
      </c>
      <c r="O171" s="114">
        <v>5.5</v>
      </c>
      <c r="P171" s="116" t="s">
        <v>102</v>
      </c>
      <c r="Q171" s="122"/>
      <c r="R171" s="116" t="s">
        <v>102</v>
      </c>
      <c r="S171" s="116" t="s">
        <v>106</v>
      </c>
      <c r="T171" s="114">
        <v>95</v>
      </c>
      <c r="U171" s="114">
        <v>0.2</v>
      </c>
      <c r="V171" s="116">
        <v>0</v>
      </c>
      <c r="W171" s="114">
        <v>0.1</v>
      </c>
      <c r="X171" s="116" t="s">
        <v>102</v>
      </c>
      <c r="Y171" s="114">
        <v>0.45</v>
      </c>
      <c r="Z171" s="114">
        <v>2.77</v>
      </c>
      <c r="AA171" s="116">
        <v>0.5</v>
      </c>
      <c r="AB171" s="25" t="s">
        <v>102</v>
      </c>
      <c r="AC171" s="25" t="s">
        <v>106</v>
      </c>
      <c r="AD171" s="116" t="s">
        <v>103</v>
      </c>
      <c r="AE171" s="116" t="s">
        <v>167</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c r="AO171" s="114"/>
      <c r="AP171" s="25" t="s">
        <v>193</v>
      </c>
    </row>
    <row r="172" spans="1:42" x14ac:dyDescent="0.25">
      <c r="A172" s="82">
        <v>44417</v>
      </c>
      <c r="B172" s="76"/>
      <c r="C172" s="25">
        <v>14000804</v>
      </c>
      <c r="D172" s="25" t="s">
        <v>194</v>
      </c>
      <c r="E172" s="77"/>
      <c r="F172" s="78"/>
      <c r="G172" s="79"/>
      <c r="H172" s="77"/>
      <c r="I172" s="77" t="s">
        <v>195</v>
      </c>
      <c r="J172" s="80">
        <v>55</v>
      </c>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116"/>
      <c r="AO172" s="114"/>
      <c r="AP172" s="25"/>
    </row>
    <row r="173" spans="1:42" x14ac:dyDescent="0.25">
      <c r="A173" s="82">
        <v>44417</v>
      </c>
      <c r="B173" s="76"/>
      <c r="C173" s="25">
        <v>14000815</v>
      </c>
      <c r="D173" s="25" t="s">
        <v>194</v>
      </c>
      <c r="E173" s="77"/>
      <c r="F173" s="78"/>
      <c r="G173" s="79"/>
      <c r="H173" s="77"/>
      <c r="I173" s="77" t="s">
        <v>195</v>
      </c>
      <c r="J173" s="80">
        <v>55</v>
      </c>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v>44417</v>
      </c>
      <c r="B174" s="76"/>
      <c r="C174" s="25">
        <v>14000820</v>
      </c>
      <c r="D174" s="25" t="s">
        <v>194</v>
      </c>
      <c r="E174" s="77"/>
      <c r="F174" s="78"/>
      <c r="G174" s="79"/>
      <c r="H174" s="77"/>
      <c r="I174" s="77" t="s">
        <v>195</v>
      </c>
      <c r="J174" s="80">
        <v>59</v>
      </c>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v>44417</v>
      </c>
      <c r="B175" s="76"/>
      <c r="C175" s="25">
        <v>14000217</v>
      </c>
      <c r="D175" s="25" t="s">
        <v>194</v>
      </c>
      <c r="E175" s="77"/>
      <c r="F175" s="78"/>
      <c r="G175" s="79"/>
      <c r="H175" s="77"/>
      <c r="I175" s="77" t="s">
        <v>195</v>
      </c>
      <c r="J175" s="80">
        <v>59</v>
      </c>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v>44417</v>
      </c>
      <c r="B176" s="76"/>
      <c r="C176" s="25">
        <v>14000256</v>
      </c>
      <c r="D176" s="25" t="s">
        <v>194</v>
      </c>
      <c r="E176" s="77"/>
      <c r="F176" s="78"/>
      <c r="G176" s="79"/>
      <c r="H176" s="77"/>
      <c r="I176" s="77" t="s">
        <v>196</v>
      </c>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v>44417</v>
      </c>
      <c r="B177" s="76"/>
      <c r="C177" s="25">
        <v>14000022</v>
      </c>
      <c r="D177" s="25" t="s">
        <v>194</v>
      </c>
      <c r="E177" s="77"/>
      <c r="F177" s="78"/>
      <c r="G177" s="79"/>
      <c r="H177" s="77"/>
      <c r="I177" s="77" t="s">
        <v>197</v>
      </c>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v>44417</v>
      </c>
      <c r="B178" s="76"/>
      <c r="C178" s="25">
        <v>14000322</v>
      </c>
      <c r="D178" s="25" t="s">
        <v>194</v>
      </c>
      <c r="E178" s="77"/>
      <c r="F178" s="78"/>
      <c r="G178" s="79"/>
      <c r="H178" s="77"/>
      <c r="I178" s="77" t="s">
        <v>197</v>
      </c>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v>44417</v>
      </c>
      <c r="B179" s="76"/>
      <c r="C179" s="25">
        <v>14000196</v>
      </c>
      <c r="D179" s="25" t="s">
        <v>194</v>
      </c>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v>44417</v>
      </c>
      <c r="B180" s="76"/>
      <c r="C180" s="25">
        <v>14001624</v>
      </c>
      <c r="D180" s="25" t="s">
        <v>194</v>
      </c>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v>44417</v>
      </c>
      <c r="B181" s="76"/>
      <c r="C181" s="25">
        <v>14001731</v>
      </c>
      <c r="D181" s="25" t="s">
        <v>194</v>
      </c>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v>44418</v>
      </c>
      <c r="B182" s="76"/>
      <c r="C182" s="25">
        <v>24740003</v>
      </c>
      <c r="D182" s="25" t="s">
        <v>194</v>
      </c>
      <c r="E182" s="77"/>
      <c r="F182" s="78"/>
      <c r="G182" s="79"/>
      <c r="H182" s="77"/>
      <c r="I182" s="77" t="s">
        <v>198</v>
      </c>
      <c r="J182" s="80">
        <v>15</v>
      </c>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v>44418</v>
      </c>
      <c r="B183" s="76"/>
      <c r="C183" s="25">
        <v>14000897</v>
      </c>
      <c r="D183" s="25" t="s">
        <v>194</v>
      </c>
      <c r="E183" s="77"/>
      <c r="F183" s="78"/>
      <c r="G183" s="79"/>
      <c r="H183" s="77"/>
      <c r="I183" s="77" t="s">
        <v>198</v>
      </c>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v>44418</v>
      </c>
      <c r="B184" s="76"/>
      <c r="C184" s="25">
        <v>24000892</v>
      </c>
      <c r="D184" s="25" t="s">
        <v>194</v>
      </c>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v>44418</v>
      </c>
      <c r="B185" s="76"/>
      <c r="C185" s="25">
        <v>14000890</v>
      </c>
      <c r="D185" s="25" t="s">
        <v>194</v>
      </c>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v>44418</v>
      </c>
      <c r="B186" s="76"/>
      <c r="C186" s="25">
        <v>14000894</v>
      </c>
      <c r="D186" s="25" t="s">
        <v>194</v>
      </c>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v>44418</v>
      </c>
      <c r="B187" s="76"/>
      <c r="C187" s="25">
        <v>14000592</v>
      </c>
      <c r="D187" s="25" t="s">
        <v>194</v>
      </c>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v>44418</v>
      </c>
      <c r="B188" s="76"/>
      <c r="C188" s="25">
        <v>14000593</v>
      </c>
      <c r="D188" s="25" t="s">
        <v>194</v>
      </c>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v>44418</v>
      </c>
      <c r="B189" s="76"/>
      <c r="C189" s="25">
        <v>14001062</v>
      </c>
      <c r="D189" s="25" t="s">
        <v>194</v>
      </c>
      <c r="E189" s="77"/>
      <c r="F189" s="78"/>
      <c r="G189" s="79"/>
      <c r="H189" s="77"/>
      <c r="I189" s="77" t="s">
        <v>199</v>
      </c>
      <c r="J189" s="80">
        <v>2</v>
      </c>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ht="30" x14ac:dyDescent="0.25">
      <c r="A190" s="82">
        <v>44418</v>
      </c>
      <c r="B190" s="76"/>
      <c r="C190" s="25">
        <v>14001094</v>
      </c>
      <c r="D190" s="25" t="s">
        <v>194</v>
      </c>
      <c r="E190" s="77"/>
      <c r="F190" s="78"/>
      <c r="G190" s="79"/>
      <c r="H190" s="77" t="s">
        <v>187</v>
      </c>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116"/>
      <c r="AO190" s="114"/>
      <c r="AP190" s="25"/>
    </row>
    <row r="191" spans="1:42" x14ac:dyDescent="0.25">
      <c r="A191" s="82">
        <v>44418</v>
      </c>
      <c r="B191" s="76"/>
      <c r="C191" s="25">
        <v>14000967</v>
      </c>
      <c r="D191" s="25" t="s">
        <v>194</v>
      </c>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v>44418</v>
      </c>
      <c r="B192" s="76"/>
      <c r="C192" s="25">
        <v>14000968</v>
      </c>
      <c r="D192" s="25" t="s">
        <v>194</v>
      </c>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v>44418</v>
      </c>
      <c r="B193" s="76"/>
      <c r="C193" s="25">
        <v>14001222</v>
      </c>
      <c r="D193" s="25" t="s">
        <v>194</v>
      </c>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v>44419</v>
      </c>
      <c r="B194" s="76"/>
      <c r="C194" s="25">
        <v>14001029</v>
      </c>
      <c r="D194" s="25" t="s">
        <v>194</v>
      </c>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v>44419</v>
      </c>
      <c r="B195" s="76"/>
      <c r="C195" s="25">
        <v>14001112</v>
      </c>
      <c r="D195" s="25" t="s">
        <v>194</v>
      </c>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v>44419</v>
      </c>
      <c r="B196" s="76"/>
      <c r="C196" s="25">
        <v>14001170</v>
      </c>
      <c r="D196" s="25" t="s">
        <v>194</v>
      </c>
      <c r="E196" s="77"/>
      <c r="F196" s="78"/>
      <c r="G196" s="79"/>
      <c r="H196" s="77"/>
      <c r="I196" s="77" t="s">
        <v>200</v>
      </c>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v>44419</v>
      </c>
      <c r="B197" s="76"/>
      <c r="C197" s="25">
        <v>14000799</v>
      </c>
      <c r="D197" s="25" t="s">
        <v>194</v>
      </c>
      <c r="E197" s="77"/>
      <c r="F197" s="78"/>
      <c r="G197" s="79"/>
      <c r="H197" s="77"/>
      <c r="I197" s="77" t="s">
        <v>201</v>
      </c>
      <c r="J197" s="80">
        <v>47</v>
      </c>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v>44419</v>
      </c>
      <c r="B198" s="76"/>
      <c r="C198" s="25">
        <v>14000823</v>
      </c>
      <c r="D198" s="25" t="s">
        <v>194</v>
      </c>
      <c r="E198" s="77"/>
      <c r="F198" s="78"/>
      <c r="G198" s="79"/>
      <c r="H198" s="77"/>
      <c r="I198" s="77" t="s">
        <v>201</v>
      </c>
      <c r="J198" s="80">
        <v>48</v>
      </c>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tl7Iolj1gwczeHgA/oGWekmQD0/cogxAQBD+djxfZyqYNBg8vYdarD0k+jL9uoKTgtSoNlxJIuuSfntjd0VL5Q==" saltValue="q/UpAth/J5oZpvP9cMAck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35:M148 M150 M155:M157 M160:M167 M170 M17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150 Q152 Q155:Q157 Q160:Q167 Q170 Q17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150 N152 N155:N157 N160:N167 N170 N17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Q15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51"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51"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Q158"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171 M169 M153:M154"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171 N169 N153:N154"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14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2021-12-07T18:30:09Z</dcterms:modified>
</cp:coreProperties>
</file>