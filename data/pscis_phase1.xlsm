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DEE5777A-1633-40E9-ABB1-5D1797A405F3}"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0" i="2"/>
  <c r="AM168" i="2"/>
  <c r="AM167" i="2"/>
  <c r="AM166" i="2"/>
  <c r="AM165" i="2"/>
  <c r="AM164" i="2"/>
  <c r="AM163" i="2"/>
  <c r="AM162" i="2"/>
  <c r="AM161" i="2"/>
  <c r="AM160" i="2"/>
  <c r="AM159" i="2"/>
  <c r="AM158" i="2"/>
  <c r="AM157" i="2"/>
  <c r="AM156" i="2"/>
  <c r="AM155"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L5241" i="2" s="1"/>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L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L5177" i="2" s="1"/>
  <c r="AF5177" i="2"/>
  <c r="AK5177" i="2" s="1"/>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L5052" i="2" s="1"/>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L5004" i="2" s="1"/>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L154" i="2" s="1"/>
  <c r="AM154" i="2" s="1"/>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L1403" i="2" s="1"/>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L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L1545" i="2" s="1"/>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L1569" i="2" s="1"/>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L1598" i="2" s="1"/>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L1639" i="2" s="1"/>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s="1"/>
  <c r="AG1651" i="2"/>
  <c r="AL1651" i="2" s="1"/>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L1668" i="2" s="1"/>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L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L1679" i="2" s="1"/>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L1690" i="2" s="1"/>
  <c r="AI1690" i="2"/>
  <c r="AJ1690" i="2"/>
  <c r="AF1691" i="2"/>
  <c r="AK1691" i="2" s="1"/>
  <c r="AG1691" i="2"/>
  <c r="AH1691" i="2"/>
  <c r="AI1691" i="2"/>
  <c r="AJ1691" i="2"/>
  <c r="AF1692" i="2"/>
  <c r="AK1692" i="2"/>
  <c r="AG1692" i="2"/>
  <c r="AH1692" i="2"/>
  <c r="AI1692" i="2"/>
  <c r="AL1692" i="2" s="1"/>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L1697" i="2" s="1"/>
  <c r="AG1697" i="2"/>
  <c r="AH1697" i="2"/>
  <c r="AI1697" i="2"/>
  <c r="AJ1697" i="2"/>
  <c r="AF1698" i="2"/>
  <c r="AK1698" i="2"/>
  <c r="AG1698" i="2"/>
  <c r="AH1698" i="2"/>
  <c r="AI1698" i="2"/>
  <c r="AJ1698" i="2"/>
  <c r="AF1699" i="2"/>
  <c r="AK1699" i="2" s="1"/>
  <c r="AG1699" i="2"/>
  <c r="AL1699" i="2" s="1"/>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L1703" i="2" s="1"/>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L1714" i="2" s="1"/>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L1727" i="2" s="1"/>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L1740" i="2" s="1"/>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L1747" i="2" s="1"/>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L1764" i="2" s="1"/>
  <c r="AJ1764" i="2"/>
  <c r="AF1765" i="2"/>
  <c r="AK1765" i="2" s="1"/>
  <c r="AG1765" i="2"/>
  <c r="AH1765" i="2"/>
  <c r="AI1765" i="2"/>
  <c r="AJ1765" i="2"/>
  <c r="AF1766" i="2"/>
  <c r="AK1766" i="2"/>
  <c r="AG1766" i="2"/>
  <c r="AH1766" i="2"/>
  <c r="AI1766" i="2"/>
  <c r="AJ1766" i="2"/>
  <c r="AL1766" i="2" s="1"/>
  <c r="AF1767" i="2"/>
  <c r="AK1767" i="2" s="1"/>
  <c r="AG1767" i="2"/>
  <c r="AH1767" i="2"/>
  <c r="AI1767" i="2"/>
  <c r="AJ1767" i="2"/>
  <c r="AF1768" i="2"/>
  <c r="AK1768" i="2"/>
  <c r="AG1768" i="2"/>
  <c r="AH1768" i="2"/>
  <c r="AI1768" i="2"/>
  <c r="AJ1768" i="2"/>
  <c r="AF1769" i="2"/>
  <c r="AK1769" i="2" s="1"/>
  <c r="AL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L1775" i="2" s="1"/>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L1969" i="2" s="1"/>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L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L1993" i="2" s="1"/>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L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L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L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L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L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L2303" i="2" s="1"/>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L2417" i="2" s="1"/>
  <c r="AJ2417" i="2"/>
  <c r="AF2418" i="2"/>
  <c r="AK2418" i="2" s="1"/>
  <c r="AG2418" i="2"/>
  <c r="AH2418" i="2"/>
  <c r="AI2418" i="2"/>
  <c r="AJ2418" i="2"/>
  <c r="AF2419" i="2"/>
  <c r="AK2419" i="2" s="1"/>
  <c r="AG2419" i="2"/>
  <c r="AH2419" i="2"/>
  <c r="AI2419" i="2"/>
  <c r="AJ2419" i="2"/>
  <c r="AF2420" i="2"/>
  <c r="AK2420" i="2" s="1"/>
  <c r="AL2420" i="2" s="1"/>
  <c r="AG2420" i="2"/>
  <c r="AH2420" i="2"/>
  <c r="AI2420" i="2"/>
  <c r="AJ2420" i="2"/>
  <c r="AF2421" i="2"/>
  <c r="AK2421" i="2" s="1"/>
  <c r="AG2421" i="2"/>
  <c r="AH2421" i="2"/>
  <c r="AI2421" i="2"/>
  <c r="AJ2421" i="2"/>
  <c r="AF2422" i="2"/>
  <c r="AK2422" i="2" s="1"/>
  <c r="AG2422" i="2"/>
  <c r="AH2422" i="2"/>
  <c r="AL2422" i="2" s="1"/>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L2427" i="2" s="1"/>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L2431" i="2" s="1"/>
  <c r="AF2432" i="2"/>
  <c r="AK2432" i="2"/>
  <c r="AG2432" i="2"/>
  <c r="AH2432" i="2"/>
  <c r="AI2432" i="2"/>
  <c r="AJ2432" i="2"/>
  <c r="AF2433" i="2"/>
  <c r="AK2433" i="2" s="1"/>
  <c r="AG2433" i="2"/>
  <c r="AH2433" i="2"/>
  <c r="AI2433" i="2"/>
  <c r="AJ2433" i="2"/>
  <c r="AF2434" i="2"/>
  <c r="AK2434" i="2" s="1"/>
  <c r="AL2434" i="2" s="1"/>
  <c r="AG2434" i="2"/>
  <c r="AH2434" i="2"/>
  <c r="AI2434" i="2"/>
  <c r="AJ2434" i="2"/>
  <c r="AF2435" i="2"/>
  <c r="AK2435" i="2" s="1"/>
  <c r="AG2435" i="2"/>
  <c r="AH2435" i="2"/>
  <c r="AI2435" i="2"/>
  <c r="AJ2435" i="2"/>
  <c r="AF2436" i="2"/>
  <c r="AK2436" i="2" s="1"/>
  <c r="AG2436" i="2"/>
  <c r="AH2436" i="2"/>
  <c r="AL2436" i="2" s="1"/>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L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L2487" i="2" s="1"/>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L2499" i="2" s="1"/>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L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L2511" i="2" s="1"/>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L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L2539" i="2" s="1"/>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L2544" i="2"/>
  <c r="AG2544" i="2"/>
  <c r="AH2544" i="2"/>
  <c r="AI2544" i="2"/>
  <c r="AJ2544" i="2"/>
  <c r="AF2545" i="2"/>
  <c r="AK2545" i="2"/>
  <c r="AG2545" i="2"/>
  <c r="AH2545" i="2"/>
  <c r="AI2545" i="2"/>
  <c r="AJ2545" i="2"/>
  <c r="AF2546" i="2"/>
  <c r="AK2546" i="2" s="1"/>
  <c r="AG2546" i="2"/>
  <c r="AL2546" i="2" s="1"/>
  <c r="AH2546" i="2"/>
  <c r="AI2546" i="2"/>
  <c r="AJ2546" i="2"/>
  <c r="AF2547" i="2"/>
  <c r="AK2547" i="2" s="1"/>
  <c r="AG2547" i="2"/>
  <c r="AH2547" i="2"/>
  <c r="AI2547" i="2"/>
  <c r="AJ2547" i="2"/>
  <c r="AF2548" i="2"/>
  <c r="AK2548" i="2" s="1"/>
  <c r="AG2548" i="2"/>
  <c r="AH2548" i="2"/>
  <c r="AI2548" i="2"/>
  <c r="AL2548" i="2" s="1"/>
  <c r="AJ2548" i="2"/>
  <c r="AF2549" i="2"/>
  <c r="AK2549" i="2" s="1"/>
  <c r="AG2549" i="2"/>
  <c r="AH2549" i="2"/>
  <c r="AI2549" i="2"/>
  <c r="AJ2549" i="2"/>
  <c r="AF2550" i="2"/>
  <c r="AK2550" i="2" s="1"/>
  <c r="AG2550" i="2"/>
  <c r="AH2550" i="2"/>
  <c r="AI2550" i="2"/>
  <c r="AJ2550" i="2"/>
  <c r="AF2551" i="2"/>
  <c r="AK2551" i="2" s="1"/>
  <c r="AL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L2555" i="2" s="1"/>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L2560" i="2" s="1"/>
  <c r="AG2560" i="2"/>
  <c r="AH2560" i="2"/>
  <c r="AI2560" i="2"/>
  <c r="AJ2560" i="2"/>
  <c r="AF2561" i="2"/>
  <c r="AK2561" i="2"/>
  <c r="AG2561" i="2"/>
  <c r="AH2561" i="2"/>
  <c r="AI2561" i="2"/>
  <c r="AJ2561" i="2"/>
  <c r="AF2562" i="2"/>
  <c r="AK2562" i="2"/>
  <c r="AL2562" i="2" s="1"/>
  <c r="AG2562" i="2"/>
  <c r="AH2562" i="2"/>
  <c r="AI2562" i="2"/>
  <c r="AJ2562" i="2"/>
  <c r="AF2563" i="2"/>
  <c r="AK2563" i="2"/>
  <c r="AG2563" i="2"/>
  <c r="AH2563" i="2"/>
  <c r="AI2563" i="2"/>
  <c r="AJ2563" i="2"/>
  <c r="AF2564" i="2"/>
  <c r="AK2564" i="2"/>
  <c r="AL2564" i="2" s="1"/>
  <c r="AG2564" i="2"/>
  <c r="AH2564" i="2"/>
  <c r="AI2564" i="2"/>
  <c r="AJ2564" i="2"/>
  <c r="AF2565" i="2"/>
  <c r="AK2565" i="2"/>
  <c r="AG2565" i="2"/>
  <c r="AH2565" i="2"/>
  <c r="AI2565" i="2"/>
  <c r="AJ2565" i="2"/>
  <c r="AF2566" i="2"/>
  <c r="AK2566" i="2"/>
  <c r="AL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L2570" i="2" s="1"/>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L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L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s="1"/>
  <c r="AL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L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L3295" i="2" s="1"/>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L3299" i="2" s="1"/>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s="1"/>
  <c r="AG3321" i="2"/>
  <c r="AH3321" i="2"/>
  <c r="AI3321" i="2"/>
  <c r="AJ3321" i="2"/>
  <c r="AF3322" i="2"/>
  <c r="AK3322" i="2" s="1"/>
  <c r="AL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L3374" i="2" s="1"/>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L3381" i="2" s="1"/>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L3426" i="2" s="1"/>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L3447" i="2" s="1"/>
  <c r="AG3447" i="2"/>
  <c r="AH3447" i="2"/>
  <c r="AI3447" i="2"/>
  <c r="AJ3447" i="2"/>
  <c r="AF3448" i="2"/>
  <c r="AK3448" i="2" s="1"/>
  <c r="AG3448" i="2"/>
  <c r="AH3448" i="2"/>
  <c r="AI3448" i="2"/>
  <c r="AL3448" i="2" s="1"/>
  <c r="AJ3448" i="2"/>
  <c r="AF3449" i="2"/>
  <c r="AK3449" i="2" s="1"/>
  <c r="AG3449" i="2"/>
  <c r="AH3449" i="2"/>
  <c r="AI3449" i="2"/>
  <c r="AJ3449" i="2"/>
  <c r="AF3450" i="2"/>
  <c r="AK3450" i="2"/>
  <c r="AG3450" i="2"/>
  <c r="AH3450" i="2"/>
  <c r="AI3450" i="2"/>
  <c r="AJ3450" i="2"/>
  <c r="AL3450" i="2" s="1"/>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L3462" i="2" s="1"/>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L3504" i="2" s="1"/>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L3508" i="2" s="1"/>
  <c r="AI3508" i="2"/>
  <c r="AJ3508" i="2"/>
  <c r="AF3509" i="2"/>
  <c r="AK3509" i="2" s="1"/>
  <c r="AG3509" i="2"/>
  <c r="AH3509" i="2"/>
  <c r="AI3509" i="2"/>
  <c r="AJ3509" i="2"/>
  <c r="AF3510" i="2"/>
  <c r="AK3510" i="2"/>
  <c r="AG3510" i="2"/>
  <c r="AH3510" i="2"/>
  <c r="AI3510" i="2"/>
  <c r="AL3510" i="2" s="1"/>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L3554" i="2" s="1"/>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L3568" i="2" s="1"/>
  <c r="AF3569" i="2"/>
  <c r="AK3569" i="2" s="1"/>
  <c r="AG3569" i="2"/>
  <c r="AH3569" i="2"/>
  <c r="AI3569" i="2"/>
  <c r="AJ3569" i="2"/>
  <c r="AF3570" i="2"/>
  <c r="AK3570" i="2" s="1"/>
  <c r="AG3570" i="2"/>
  <c r="AH3570" i="2"/>
  <c r="AI3570" i="2"/>
  <c r="AJ3570" i="2"/>
  <c r="AF3571" i="2"/>
  <c r="AK3571" i="2" s="1"/>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L3578" i="2" s="1"/>
  <c r="AG3578" i="2"/>
  <c r="AH3578" i="2"/>
  <c r="AI3578" i="2"/>
  <c r="AJ3578" i="2"/>
  <c r="AF3579" i="2"/>
  <c r="AK3579" i="2"/>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c r="AG3611" i="2"/>
  <c r="AH3611" i="2"/>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L3625" i="2" s="1"/>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L3629" i="2" s="1"/>
  <c r="AF3630" i="2"/>
  <c r="AK3630" i="2" s="1"/>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L3635" i="2" s="1"/>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L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s="1"/>
  <c r="AL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L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s="1"/>
  <c r="AG3697" i="2"/>
  <c r="AH3697" i="2"/>
  <c r="AI3697" i="2"/>
  <c r="AJ3697" i="2"/>
  <c r="AF3698" i="2"/>
  <c r="AK3698" i="2"/>
  <c r="AG3698" i="2"/>
  <c r="AL3698" i="2" s="1"/>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L3702" i="2" s="1"/>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L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L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L3796" i="2" s="1"/>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s="1"/>
  <c r="AL3855" i="2" s="1"/>
  <c r="AG3855" i="2"/>
  <c r="AH3855" i="2"/>
  <c r="AI3855" i="2"/>
  <c r="AJ3855" i="2"/>
  <c r="AF3856" i="2"/>
  <c r="AK3856" i="2" s="1"/>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s="1"/>
  <c r="AG3899" i="2"/>
  <c r="AH3899" i="2"/>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L3906" i="2" s="1"/>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L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L3936" i="2" s="1"/>
  <c r="AI3936" i="2"/>
  <c r="AJ3936" i="2"/>
  <c r="AF3937" i="2"/>
  <c r="AK3937" i="2" s="1"/>
  <c r="AG3937" i="2"/>
  <c r="AH3937" i="2"/>
  <c r="AI3937" i="2"/>
  <c r="AJ3937" i="2"/>
  <c r="AF3938" i="2"/>
  <c r="AK3938" i="2" s="1"/>
  <c r="AG3938" i="2"/>
  <c r="AH3938" i="2"/>
  <c r="AI3938" i="2"/>
  <c r="AJ3938" i="2"/>
  <c r="AL3938" i="2" s="1"/>
  <c r="AF3939" i="2"/>
  <c r="AK3939" i="2" s="1"/>
  <c r="AG3939" i="2"/>
  <c r="AH3939" i="2"/>
  <c r="AI3939" i="2"/>
  <c r="AJ3939" i="2"/>
  <c r="AF3940" i="2"/>
  <c r="AK3940" i="2" s="1"/>
  <c r="AG3940" i="2"/>
  <c r="AH3940" i="2"/>
  <c r="AI3940" i="2"/>
  <c r="AJ3940" i="2"/>
  <c r="AF3941" i="2"/>
  <c r="AK3941" i="2" s="1"/>
  <c r="AG3941" i="2"/>
  <c r="AL3941" i="2" s="1"/>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L3952" i="2" s="1"/>
  <c r="AI3952" i="2"/>
  <c r="AJ3952" i="2"/>
  <c r="AF3953" i="2"/>
  <c r="AK3953" i="2"/>
  <c r="AG3953" i="2"/>
  <c r="AH3953" i="2"/>
  <c r="AI3953" i="2"/>
  <c r="AJ3953" i="2"/>
  <c r="AF3954" i="2"/>
  <c r="AK3954" i="2" s="1"/>
  <c r="AG3954" i="2"/>
  <c r="AH3954" i="2"/>
  <c r="AI3954" i="2"/>
  <c r="AL3954" i="2" s="1"/>
  <c r="AJ3954" i="2"/>
  <c r="AF3955" i="2"/>
  <c r="AK3955" i="2" s="1"/>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L3961" i="2" s="1"/>
  <c r="AI3961" i="2"/>
  <c r="AJ3961" i="2"/>
  <c r="AF3962" i="2"/>
  <c r="AK3962" i="2" s="1"/>
  <c r="AG3962" i="2"/>
  <c r="AH3962" i="2"/>
  <c r="AI3962" i="2"/>
  <c r="AJ3962" i="2"/>
  <c r="AF3963" i="2"/>
  <c r="AK3963" i="2" s="1"/>
  <c r="AG3963" i="2"/>
  <c r="AH3963" i="2"/>
  <c r="AI3963" i="2"/>
  <c r="AJ3963" i="2"/>
  <c r="AL3963" i="2" s="1"/>
  <c r="AF3964" i="2"/>
  <c r="AK3964" i="2" s="1"/>
  <c r="AG3964" i="2"/>
  <c r="AH3964" i="2"/>
  <c r="AI3964" i="2"/>
  <c r="AJ3964" i="2"/>
  <c r="AF3965" i="2"/>
  <c r="AK3965" i="2" s="1"/>
  <c r="AG3965" i="2"/>
  <c r="AH3965" i="2"/>
  <c r="AI3965" i="2"/>
  <c r="AJ3965" i="2"/>
  <c r="AF3966" i="2"/>
  <c r="AK3966" i="2" s="1"/>
  <c r="AG3966" i="2"/>
  <c r="AL3966" i="2" s="1"/>
  <c r="AH3966" i="2"/>
  <c r="AI3966" i="2"/>
  <c r="AJ3966" i="2"/>
  <c r="AF3967" i="2"/>
  <c r="AK3967" i="2" s="1"/>
  <c r="AG3967" i="2"/>
  <c r="AH3967" i="2"/>
  <c r="AI3967" i="2"/>
  <c r="AJ3967" i="2"/>
  <c r="AF3968" i="2"/>
  <c r="AK3968" i="2" s="1"/>
  <c r="AG3968" i="2"/>
  <c r="AH3968" i="2"/>
  <c r="AI3968" i="2"/>
  <c r="AL3968" i="2" s="1"/>
  <c r="AJ3968" i="2"/>
  <c r="AF3969" i="2"/>
  <c r="AK3969" i="2" s="1"/>
  <c r="AG3969" i="2"/>
  <c r="AH3969" i="2"/>
  <c r="AI3969" i="2"/>
  <c r="AJ3969" i="2"/>
  <c r="AF3970" i="2"/>
  <c r="AK3970" i="2" s="1"/>
  <c r="AG3970" i="2"/>
  <c r="AH3970" i="2"/>
  <c r="AI3970" i="2"/>
  <c r="AJ3970" i="2"/>
  <c r="AF3971" i="2"/>
  <c r="AK3971" i="2" s="1"/>
  <c r="AL3971" i="2" s="1"/>
  <c r="AG3971" i="2"/>
  <c r="AH3971" i="2"/>
  <c r="AI3971" i="2"/>
  <c r="AJ3971" i="2"/>
  <c r="AF3972" i="2"/>
  <c r="AK3972" i="2" s="1"/>
  <c r="AG3972" i="2"/>
  <c r="AH3972" i="2"/>
  <c r="AI3972" i="2"/>
  <c r="AJ3972" i="2"/>
  <c r="AF3973" i="2"/>
  <c r="AK3973" i="2" s="1"/>
  <c r="AG3973" i="2"/>
  <c r="AH3973" i="2"/>
  <c r="AL3973" i="2" s="1"/>
  <c r="AI3973" i="2"/>
  <c r="AJ3973" i="2"/>
  <c r="AF3974" i="2"/>
  <c r="AK3974" i="2" s="1"/>
  <c r="AG3974" i="2"/>
  <c r="AH3974" i="2"/>
  <c r="AI3974" i="2"/>
  <c r="AJ3974" i="2"/>
  <c r="AF3975" i="2"/>
  <c r="AK3975" i="2" s="1"/>
  <c r="AG3975" i="2"/>
  <c r="AH3975" i="2"/>
  <c r="AI3975" i="2"/>
  <c r="AJ3975" i="2"/>
  <c r="AL3975" i="2" s="1"/>
  <c r="AF3976" i="2"/>
  <c r="AK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L3981" i="2" s="1"/>
  <c r="AG3981" i="2"/>
  <c r="AH3981" i="2"/>
  <c r="AI3981" i="2"/>
  <c r="AJ3981" i="2"/>
  <c r="AF3982" i="2"/>
  <c r="AK3982" i="2" s="1"/>
  <c r="AG3982" i="2"/>
  <c r="AH3982" i="2"/>
  <c r="AI3982" i="2"/>
  <c r="AJ3982" i="2"/>
  <c r="AF3983" i="2"/>
  <c r="AK3983" i="2" s="1"/>
  <c r="AL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s="1"/>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F4085" i="2"/>
  <c r="AK4085" i="2" s="1"/>
  <c r="AG4085" i="2"/>
  <c r="AH4085" i="2"/>
  <c r="AL4085" i="2" s="1"/>
  <c r="AI4085" i="2"/>
  <c r="AJ4085" i="2"/>
  <c r="AF4086" i="2"/>
  <c r="AK4086" i="2" s="1"/>
  <c r="AG4086" i="2"/>
  <c r="AH4086" i="2"/>
  <c r="AI4086" i="2"/>
  <c r="AJ4086" i="2"/>
  <c r="AF4087" i="2"/>
  <c r="AK4087" i="2" s="1"/>
  <c r="AG4087" i="2"/>
  <c r="AH4087" i="2"/>
  <c r="AI4087" i="2"/>
  <c r="AJ4087" i="2"/>
  <c r="AL4087" i="2" s="1"/>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s="1"/>
  <c r="AG4091" i="2"/>
  <c r="AH4091" i="2"/>
  <c r="AI4091" i="2"/>
  <c r="AJ4091" i="2"/>
  <c r="AF4092" i="2"/>
  <c r="AK4092" i="2" s="1"/>
  <c r="AG4092" i="2"/>
  <c r="AH4092" i="2"/>
  <c r="AI4092" i="2"/>
  <c r="AL4092" i="2" s="1"/>
  <c r="AJ4092" i="2"/>
  <c r="AF4093" i="2"/>
  <c r="AK4093" i="2" s="1"/>
  <c r="AG4093" i="2"/>
  <c r="AH4093" i="2"/>
  <c r="AI4093" i="2"/>
  <c r="AJ4093" i="2"/>
  <c r="AF4094" i="2"/>
  <c r="AK4094" i="2" s="1"/>
  <c r="AG4094" i="2"/>
  <c r="AH4094" i="2"/>
  <c r="AI4094" i="2"/>
  <c r="AJ4094" i="2"/>
  <c r="AF4095" i="2"/>
  <c r="AK4095" i="2" s="1"/>
  <c r="AL4095" i="2" s="1"/>
  <c r="AG4095" i="2"/>
  <c r="AH4095" i="2"/>
  <c r="AI4095" i="2"/>
  <c r="AJ4095" i="2"/>
  <c r="AF4096" i="2"/>
  <c r="AK4096" i="2" s="1"/>
  <c r="AG4096" i="2"/>
  <c r="AH4096" i="2"/>
  <c r="AI4096" i="2"/>
  <c r="AJ4096" i="2"/>
  <c r="AF4097" i="2"/>
  <c r="AK4097" i="2" s="1"/>
  <c r="AG4097" i="2"/>
  <c r="AH4097" i="2"/>
  <c r="AL4097" i="2" s="1"/>
  <c r="AI4097" i="2"/>
  <c r="AJ4097" i="2"/>
  <c r="AF4098" i="2"/>
  <c r="AK4098" i="2" s="1"/>
  <c r="AG4098" i="2"/>
  <c r="AH4098" i="2"/>
  <c r="AI4098" i="2"/>
  <c r="AJ4098" i="2"/>
  <c r="AF4099" i="2"/>
  <c r="AK4099" i="2" s="1"/>
  <c r="AG4099" i="2"/>
  <c r="AH4099" i="2"/>
  <c r="AL4099" i="2" s="1"/>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s="1"/>
  <c r="AL4107" i="2" s="1"/>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s="1"/>
  <c r="AG4113" i="2"/>
  <c r="AH4113" i="2"/>
  <c r="AI4113" i="2"/>
  <c r="AJ4113" i="2"/>
  <c r="AF4114" i="2"/>
  <c r="AK4114" i="2" s="1"/>
  <c r="AG4114" i="2"/>
  <c r="AH4114" i="2"/>
  <c r="AL4114" i="2" s="1"/>
  <c r="AI4114" i="2"/>
  <c r="AJ4114" i="2"/>
  <c r="AF4115" i="2"/>
  <c r="AK4115" i="2" s="1"/>
  <c r="AG4115" i="2"/>
  <c r="AH4115" i="2"/>
  <c r="AI4115" i="2"/>
  <c r="AJ4115" i="2"/>
  <c r="AF4116" i="2"/>
  <c r="AK4116" i="2" s="1"/>
  <c r="AG4116" i="2"/>
  <c r="AL4116" i="2"/>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L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L4201" i="2" s="1"/>
  <c r="AI4201" i="2"/>
  <c r="AJ4201" i="2"/>
  <c r="AF4202" i="2"/>
  <c r="AK4202" i="2" s="1"/>
  <c r="AG4202" i="2"/>
  <c r="AH4202" i="2"/>
  <c r="AI4202" i="2"/>
  <c r="AJ4202" i="2"/>
  <c r="AF4203" i="2"/>
  <c r="AK4203" i="2" s="1"/>
  <c r="AG4203" i="2"/>
  <c r="AH4203" i="2"/>
  <c r="AI4203" i="2"/>
  <c r="AJ4203" i="2"/>
  <c r="AL4203" i="2" s="1"/>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s="1"/>
  <c r="AG4254" i="2"/>
  <c r="AH4254" i="2"/>
  <c r="AI4254" i="2"/>
  <c r="AJ4254" i="2"/>
  <c r="AF4255" i="2"/>
  <c r="AK4255" i="2" s="1"/>
  <c r="AL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I4259" i="2"/>
  <c r="AJ4259" i="2"/>
  <c r="AF4260" i="2"/>
  <c r="AK4260" i="2" s="1"/>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L4268" i="2" s="1"/>
  <c r="AH4268" i="2"/>
  <c r="AI4268" i="2"/>
  <c r="AJ4268" i="2"/>
  <c r="AF4269" i="2"/>
  <c r="AK4269" i="2" s="1"/>
  <c r="AG4269" i="2"/>
  <c r="AH4269" i="2"/>
  <c r="AI4269" i="2"/>
  <c r="AJ4269" i="2"/>
  <c r="AF4270" i="2"/>
  <c r="AK4270" i="2" s="1"/>
  <c r="AG4270" i="2"/>
  <c r="AH4270" i="2"/>
  <c r="AI4270" i="2"/>
  <c r="AL4270" i="2" s="1"/>
  <c r="AJ4270" i="2"/>
  <c r="AF4271" i="2"/>
  <c r="AK4271" i="2" s="1"/>
  <c r="AG4271" i="2"/>
  <c r="AH4271" i="2"/>
  <c r="AI4271" i="2"/>
  <c r="AJ4271" i="2"/>
  <c r="AF4272" i="2"/>
  <c r="AK4272" i="2"/>
  <c r="AG4272" i="2"/>
  <c r="AH4272" i="2"/>
  <c r="AI4272" i="2"/>
  <c r="AJ4272" i="2"/>
  <c r="AL4272" i="2" s="1"/>
  <c r="AF4273" i="2"/>
  <c r="AK4273" i="2"/>
  <c r="AG4273" i="2"/>
  <c r="AH4273" i="2"/>
  <c r="AI4273" i="2"/>
  <c r="AJ4273" i="2"/>
  <c r="AF4274" i="2"/>
  <c r="AK4274" i="2"/>
  <c r="AG4274" i="2"/>
  <c r="AH4274" i="2"/>
  <c r="AI4274" i="2"/>
  <c r="AL4274" i="2" s="1"/>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c r="AL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L4291" i="2" s="1"/>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H4295" i="2"/>
  <c r="AL4295" i="2"/>
  <c r="AI4295" i="2"/>
  <c r="AJ4295" i="2"/>
  <c r="AF4296" i="2"/>
  <c r="AK4296" i="2" s="1"/>
  <c r="AG4296" i="2"/>
  <c r="AH4296" i="2"/>
  <c r="AI4296" i="2"/>
  <c r="AJ4296" i="2"/>
  <c r="AF4297" i="2"/>
  <c r="AK4297" i="2"/>
  <c r="AG4297" i="2"/>
  <c r="AH4297" i="2"/>
  <c r="AI4297" i="2"/>
  <c r="AJ4297" i="2"/>
  <c r="AF4298" i="2"/>
  <c r="AK4298" i="2"/>
  <c r="AL4298" i="2" s="1"/>
  <c r="AG4298" i="2"/>
  <c r="AH4298" i="2"/>
  <c r="AI4298" i="2"/>
  <c r="AJ4298" i="2"/>
  <c r="AF4299" i="2"/>
  <c r="AK4299" i="2"/>
  <c r="AG4299" i="2"/>
  <c r="AH4299" i="2"/>
  <c r="AI4299" i="2"/>
  <c r="AJ4299" i="2"/>
  <c r="AF4300" i="2"/>
  <c r="AK4300" i="2"/>
  <c r="AL4300" i="2" s="1"/>
  <c r="AG4300" i="2"/>
  <c r="AH4300" i="2"/>
  <c r="AI4300" i="2"/>
  <c r="AJ4300" i="2"/>
  <c r="AF4301" i="2"/>
  <c r="AK4301" i="2"/>
  <c r="AG4301" i="2"/>
  <c r="AH4301" i="2"/>
  <c r="AI4301" i="2"/>
  <c r="AJ4301" i="2"/>
  <c r="AF4302" i="2"/>
  <c r="AK4302" i="2"/>
  <c r="AL4302" i="2" s="1"/>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L4308" i="2" s="1"/>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L4315" i="2" s="1"/>
  <c r="AG4315" i="2"/>
  <c r="AH4315" i="2"/>
  <c r="AI4315" i="2"/>
  <c r="AJ4315" i="2"/>
  <c r="AF4316" i="2"/>
  <c r="AK4316" i="2"/>
  <c r="AG4316" i="2"/>
  <c r="AH4316" i="2"/>
  <c r="AI4316" i="2"/>
  <c r="AJ4316" i="2"/>
  <c r="AF4317" i="2"/>
  <c r="AK4317" i="2"/>
  <c r="AL4317" i="2" s="1"/>
  <c r="AG4317" i="2"/>
  <c r="AH4317" i="2"/>
  <c r="AI4317" i="2"/>
  <c r="AJ4317" i="2"/>
  <c r="AF4318" i="2"/>
  <c r="AK4318" i="2"/>
  <c r="AG4318" i="2"/>
  <c r="AH4318" i="2"/>
  <c r="AI4318" i="2"/>
  <c r="AJ4318" i="2"/>
  <c r="AF4319" i="2"/>
  <c r="AK4319" i="2" s="1"/>
  <c r="AG4319" i="2"/>
  <c r="AL4319" i="2" s="1"/>
  <c r="AH4319" i="2"/>
  <c r="AI4319" i="2"/>
  <c r="AJ4319" i="2"/>
  <c r="AF4320" i="2"/>
  <c r="AK4320" i="2" s="1"/>
  <c r="AG4320" i="2"/>
  <c r="AH4320" i="2"/>
  <c r="AI4320" i="2"/>
  <c r="AJ4320" i="2"/>
  <c r="AF4321" i="2"/>
  <c r="AK4321" i="2" s="1"/>
  <c r="AG4321" i="2"/>
  <c r="AH4321" i="2"/>
  <c r="AI4321" i="2"/>
  <c r="AJ4321" i="2"/>
  <c r="AF4322" i="2"/>
  <c r="AK4322" i="2" s="1"/>
  <c r="AG4322" i="2"/>
  <c r="AH4322" i="2"/>
  <c r="AI4322" i="2"/>
  <c r="AJ4322" i="2"/>
  <c r="AF4323" i="2"/>
  <c r="AK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s="1"/>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L4360" i="2" s="1"/>
  <c r="AI4360" i="2"/>
  <c r="AJ4360" i="2"/>
  <c r="AF4361" i="2"/>
  <c r="AK4361" i="2" s="1"/>
  <c r="AG4361" i="2"/>
  <c r="AH4361" i="2"/>
  <c r="AI4361" i="2"/>
  <c r="AJ4361" i="2"/>
  <c r="AF4362" i="2"/>
  <c r="AK4362" i="2"/>
  <c r="AG4362" i="2"/>
  <c r="AH4362" i="2"/>
  <c r="AI4362" i="2"/>
  <c r="AJ4362" i="2"/>
  <c r="AL4362" i="2" s="1"/>
  <c r="AF4363" i="2"/>
  <c r="AK4363" i="2"/>
  <c r="AG4363" i="2"/>
  <c r="AH4363" i="2"/>
  <c r="AI4363" i="2"/>
  <c r="AJ4363" i="2"/>
  <c r="AF4364" i="2"/>
  <c r="AK4364" i="2"/>
  <c r="AG4364" i="2"/>
  <c r="AH4364" i="2"/>
  <c r="AI4364" i="2"/>
  <c r="AL4364" i="2" s="1"/>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s="1"/>
  <c r="AG4390" i="2"/>
  <c r="AH4390" i="2"/>
  <c r="AI4390" i="2"/>
  <c r="AJ4390" i="2"/>
  <c r="AF4391" i="2"/>
  <c r="AK4391" i="2" s="1"/>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s="1"/>
  <c r="AL4398" i="2" s="1"/>
  <c r="AG4398" i="2"/>
  <c r="AH4398" i="2"/>
  <c r="AI4398" i="2"/>
  <c r="AJ4398" i="2"/>
  <c r="AF4399" i="2"/>
  <c r="AK4399" i="2" s="1"/>
  <c r="AG4399" i="2"/>
  <c r="AH4399" i="2"/>
  <c r="AI4399" i="2"/>
  <c r="AJ4399" i="2"/>
  <c r="AF4400" i="2"/>
  <c r="AK4400" i="2" s="1"/>
  <c r="AG4400" i="2"/>
  <c r="AH4400" i="2"/>
  <c r="AL4400" i="2" s="1"/>
  <c r="AI4400" i="2"/>
  <c r="AJ4400" i="2"/>
  <c r="AF4401" i="2"/>
  <c r="AK4401" i="2" s="1"/>
  <c r="AG4401" i="2"/>
  <c r="AH4401" i="2"/>
  <c r="AI4401" i="2"/>
  <c r="AJ4401" i="2"/>
  <c r="AF4402" i="2"/>
  <c r="AK4402" i="2" s="1"/>
  <c r="AG4402" i="2"/>
  <c r="AH4402" i="2"/>
  <c r="AI4402" i="2"/>
  <c r="AJ4402" i="2"/>
  <c r="AL4402" i="2" s="1"/>
  <c r="AF4403" i="2"/>
  <c r="AK4403" i="2"/>
  <c r="AG4403" i="2"/>
  <c r="AH4403" i="2"/>
  <c r="AI4403" i="2"/>
  <c r="AJ4403" i="2"/>
  <c r="AF4404" i="2"/>
  <c r="AK4404" i="2"/>
  <c r="AG4404" i="2"/>
  <c r="AH4404" i="2"/>
  <c r="AI4404" i="2"/>
  <c r="AJ4404" i="2"/>
  <c r="AF4405" i="2"/>
  <c r="AK4405" i="2"/>
  <c r="AG4405" i="2"/>
  <c r="AL4405" i="2" s="1"/>
  <c r="AH4405" i="2"/>
  <c r="AI4405" i="2"/>
  <c r="AJ4405" i="2"/>
  <c r="AF4406" i="2"/>
  <c r="AK4406" i="2" s="1"/>
  <c r="AG4406" i="2"/>
  <c r="AH4406" i="2"/>
  <c r="AI4406" i="2"/>
  <c r="AJ4406" i="2"/>
  <c r="AL4406" i="2" s="1"/>
  <c r="AF4407" i="2"/>
  <c r="AK4407" i="2"/>
  <c r="AG4407" i="2"/>
  <c r="AH4407" i="2"/>
  <c r="AI4407" i="2"/>
  <c r="AL4407" i="2" s="1"/>
  <c r="AJ4407" i="2"/>
  <c r="AF4408" i="2"/>
  <c r="AK4408" i="2" s="1"/>
  <c r="AG4408" i="2"/>
  <c r="AL4408" i="2" s="1"/>
  <c r="AH4408" i="2"/>
  <c r="AI4408" i="2"/>
  <c r="AJ4408" i="2"/>
  <c r="AF4409" i="2"/>
  <c r="AK4409" i="2"/>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s="1"/>
  <c r="AG4421" i="2"/>
  <c r="AH4421" i="2"/>
  <c r="AI4421" i="2"/>
  <c r="AJ4421" i="2"/>
  <c r="AF4422" i="2"/>
  <c r="AK4422" i="2"/>
  <c r="AG4422" i="2"/>
  <c r="AH4422" i="2"/>
  <c r="AI4422" i="2"/>
  <c r="AJ4422" i="2"/>
  <c r="AF4423" i="2"/>
  <c r="AK4423" i="2" s="1"/>
  <c r="AG4423" i="2"/>
  <c r="AH4423" i="2"/>
  <c r="AI4423" i="2"/>
  <c r="AJ4423" i="2"/>
  <c r="AF4424" i="2"/>
  <c r="AK4424" i="2"/>
  <c r="AG4424" i="2"/>
  <c r="AL4424" i="2" s="1"/>
  <c r="AH4424" i="2"/>
  <c r="AI4424" i="2"/>
  <c r="AJ4424" i="2"/>
  <c r="AF4425" i="2"/>
  <c r="AK4425" i="2"/>
  <c r="AG4425" i="2"/>
  <c r="AH4425" i="2"/>
  <c r="AI4425" i="2"/>
  <c r="AJ4425" i="2"/>
  <c r="AF4426" i="2"/>
  <c r="AK4426" i="2"/>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s="1"/>
  <c r="AG4433" i="2"/>
  <c r="AH4433" i="2"/>
  <c r="AI4433" i="2"/>
  <c r="AJ4433" i="2"/>
  <c r="AF4434" i="2"/>
  <c r="AK4434" i="2" s="1"/>
  <c r="AG4434" i="2"/>
  <c r="AH4434" i="2"/>
  <c r="AI4434" i="2"/>
  <c r="AJ4434" i="2"/>
  <c r="AF4435" i="2"/>
  <c r="AK4435" i="2" s="1"/>
  <c r="AL4435" i="2" s="1"/>
  <c r="AG4435" i="2"/>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L4439" i="2" s="1"/>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s="1"/>
  <c r="AL4445" i="2" s="1"/>
  <c r="AG4445" i="2"/>
  <c r="AH4445" i="2"/>
  <c r="AI4445" i="2"/>
  <c r="AJ4445" i="2"/>
  <c r="AF4446" i="2"/>
  <c r="AK4446" i="2"/>
  <c r="AG4446" i="2"/>
  <c r="AL4446" i="2" s="1"/>
  <c r="AH4446" i="2"/>
  <c r="AI4446" i="2"/>
  <c r="AJ4446" i="2"/>
  <c r="AF4447" i="2"/>
  <c r="AK4447" i="2" s="1"/>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c r="AG4475" i="2"/>
  <c r="AH4475" i="2"/>
  <c r="AI4475" i="2"/>
  <c r="AL4475" i="2" s="1"/>
  <c r="AJ4475" i="2"/>
  <c r="AF4476" i="2"/>
  <c r="AK4476" i="2"/>
  <c r="AG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H4511" i="2"/>
  <c r="AI4511" i="2"/>
  <c r="AJ4511" i="2"/>
  <c r="AF4512" i="2"/>
  <c r="AK4512" i="2" s="1"/>
  <c r="AG4512" i="2"/>
  <c r="AH4512" i="2"/>
  <c r="AI4512" i="2"/>
  <c r="AJ4512" i="2"/>
  <c r="AF4513" i="2"/>
  <c r="AK4513" i="2" s="1"/>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L4520" i="2" s="1"/>
  <c r="AJ4520" i="2"/>
  <c r="AF4521" i="2"/>
  <c r="AK4521" i="2"/>
  <c r="AG4521" i="2"/>
  <c r="AH4521" i="2"/>
  <c r="AI4521" i="2"/>
  <c r="AJ4521" i="2"/>
  <c r="AF4522" i="2"/>
  <c r="AK4522" i="2" s="1"/>
  <c r="AG4522" i="2"/>
  <c r="AH4522" i="2"/>
  <c r="AI4522" i="2"/>
  <c r="AJ4522" i="2"/>
  <c r="AL4522" i="2" s="1"/>
  <c r="AF4523" i="2"/>
  <c r="AK4523" i="2" s="1"/>
  <c r="AG4523" i="2"/>
  <c r="AH4523" i="2"/>
  <c r="AI4523" i="2"/>
  <c r="AJ4523" i="2"/>
  <c r="AF4524" i="2"/>
  <c r="AK4524" i="2" s="1"/>
  <c r="AG4524" i="2"/>
  <c r="AH4524" i="2"/>
  <c r="AI4524" i="2"/>
  <c r="AJ4524" i="2"/>
  <c r="AF4525" i="2"/>
  <c r="AK4525" i="2" s="1"/>
  <c r="AG4525" i="2"/>
  <c r="AH4525" i="2"/>
  <c r="AI4525" i="2"/>
  <c r="AJ4525" i="2"/>
  <c r="AF4526" i="2"/>
  <c r="AK4526" i="2" s="1"/>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L4555" i="2" s="1"/>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s="1"/>
  <c r="AG4560" i="2"/>
  <c r="AL4560" i="2" s="1"/>
  <c r="AH4560" i="2"/>
  <c r="AI4560" i="2"/>
  <c r="AJ4560" i="2"/>
  <c r="AF4561" i="2"/>
  <c r="AK4561" i="2" s="1"/>
  <c r="AG4561" i="2"/>
  <c r="AH4561" i="2"/>
  <c r="AI4561" i="2"/>
  <c r="AJ4561" i="2"/>
  <c r="AF4562" i="2"/>
  <c r="AK4562" i="2"/>
  <c r="AG4562" i="2"/>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F4569" i="2"/>
  <c r="AK4569" i="2" s="1"/>
  <c r="AG4569" i="2"/>
  <c r="AH4569" i="2"/>
  <c r="AI4569" i="2"/>
  <c r="AJ4569" i="2"/>
  <c r="AF4570" i="2"/>
  <c r="AK4570" i="2"/>
  <c r="AG4570" i="2"/>
  <c r="AH4570" i="2"/>
  <c r="AI4570" i="2"/>
  <c r="AJ4570" i="2"/>
  <c r="AF4571" i="2"/>
  <c r="AK4571" i="2"/>
  <c r="AG4571" i="2"/>
  <c r="AH4571" i="2"/>
  <c r="AI4571" i="2"/>
  <c r="AL4571" i="2" s="1"/>
  <c r="AJ4571" i="2"/>
  <c r="AF4572" i="2"/>
  <c r="AK4572" i="2"/>
  <c r="AG4572" i="2"/>
  <c r="AH4572" i="2"/>
  <c r="AI4572" i="2"/>
  <c r="AJ4572" i="2"/>
  <c r="AF4573" i="2"/>
  <c r="AK4573" i="2"/>
  <c r="AG4573" i="2"/>
  <c r="AH4573" i="2"/>
  <c r="AI4573" i="2"/>
  <c r="AL4573" i="2" s="1"/>
  <c r="AJ4573" i="2"/>
  <c r="AF4574" i="2"/>
  <c r="AK4574" i="2"/>
  <c r="AG4574" i="2"/>
  <c r="AH4574" i="2"/>
  <c r="AI4574" i="2"/>
  <c r="AJ4574" i="2"/>
  <c r="AF4575" i="2"/>
  <c r="AK4575" i="2"/>
  <c r="AG4575" i="2"/>
  <c r="AH4575" i="2"/>
  <c r="AI4575" i="2"/>
  <c r="AL4575" i="2" s="1"/>
  <c r="AJ4575" i="2"/>
  <c r="AF4576" i="2"/>
  <c r="AK4576" i="2"/>
  <c r="AG4576" i="2"/>
  <c r="AH4576" i="2"/>
  <c r="AI4576" i="2"/>
  <c r="AJ4576" i="2"/>
  <c r="AF4577" i="2"/>
  <c r="AK4577" i="2"/>
  <c r="AG4577" i="2"/>
  <c r="AH4577" i="2"/>
  <c r="AI4577" i="2"/>
  <c r="AL4577" i="2" s="1"/>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L4601" i="2" s="1"/>
  <c r="AG4601" i="2"/>
  <c r="AH4601" i="2"/>
  <c r="AI4601" i="2"/>
  <c r="AJ4601" i="2"/>
  <c r="AF4602" i="2"/>
  <c r="AK4602" i="2" s="1"/>
  <c r="AG4602" i="2"/>
  <c r="AH4602" i="2"/>
  <c r="AI4602" i="2"/>
  <c r="AJ4602" i="2"/>
  <c r="AF4603" i="2"/>
  <c r="AK4603" i="2"/>
  <c r="AG4603" i="2"/>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s="1"/>
  <c r="AG4619" i="2"/>
  <c r="AH4619" i="2"/>
  <c r="AI4619" i="2"/>
  <c r="AJ4619" i="2"/>
  <c r="AF4620" i="2"/>
  <c r="AK4620" i="2" s="1"/>
  <c r="AG4620" i="2"/>
  <c r="AH4620" i="2"/>
  <c r="AI4620" i="2"/>
  <c r="AJ4620" i="2"/>
  <c r="AF4621" i="2"/>
  <c r="AK4621" i="2" s="1"/>
  <c r="AG4621" i="2"/>
  <c r="AH4621" i="2"/>
  <c r="AI4621" i="2"/>
  <c r="AJ4621" i="2"/>
  <c r="AF4622" i="2"/>
  <c r="AK4622" i="2" s="1"/>
  <c r="AG4622" i="2"/>
  <c r="AH4622" i="2"/>
  <c r="AL4622" i="2" s="1"/>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s="1"/>
  <c r="AG4627" i="2"/>
  <c r="AH4627" i="2"/>
  <c r="AI4627" i="2"/>
  <c r="AJ4627" i="2"/>
  <c r="AF4628" i="2"/>
  <c r="AK4628" i="2" s="1"/>
  <c r="AG4628" i="2"/>
  <c r="AH4628" i="2"/>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s="1"/>
  <c r="AG4640" i="2"/>
  <c r="AH4640" i="2"/>
  <c r="AI4640" i="2"/>
  <c r="AJ4640" i="2"/>
  <c r="AF4641" i="2"/>
  <c r="AK4641" i="2" s="1"/>
  <c r="AG4641" i="2"/>
  <c r="AH4641" i="2"/>
  <c r="AI4641" i="2"/>
  <c r="AJ4641" i="2"/>
  <c r="AF4642" i="2"/>
  <c r="AK4642" i="2" s="1"/>
  <c r="AG4642" i="2"/>
  <c r="AH4642" i="2"/>
  <c r="AI4642" i="2"/>
  <c r="AJ4642" i="2"/>
  <c r="AF4643" i="2"/>
  <c r="AK4643" i="2"/>
  <c r="AG4643" i="2"/>
  <c r="AH4643" i="2"/>
  <c r="AL4643" i="2" s="1"/>
  <c r="AI4643" i="2"/>
  <c r="AJ4643" i="2"/>
  <c r="AF4644" i="2"/>
  <c r="AK4644" i="2"/>
  <c r="AG4644" i="2"/>
  <c r="AH4644" i="2"/>
  <c r="AI4644" i="2"/>
  <c r="AJ4644" i="2"/>
  <c r="AF4645" i="2"/>
  <c r="AK4645" i="2"/>
  <c r="AG4645" i="2"/>
  <c r="AH4645" i="2"/>
  <c r="AL4645" i="2" s="1"/>
  <c r="AI4645" i="2"/>
  <c r="AJ4645" i="2"/>
  <c r="AF4646" i="2"/>
  <c r="AK4646" i="2"/>
  <c r="AG4646" i="2"/>
  <c r="AL4646" i="2" s="1"/>
  <c r="AH4646" i="2"/>
  <c r="AI4646" i="2"/>
  <c r="AJ4646" i="2"/>
  <c r="AF4647" i="2"/>
  <c r="AK4647" i="2" s="1"/>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H4652" i="2"/>
  <c r="AL4652" i="2" s="1"/>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H4659" i="2"/>
  <c r="AI4659" i="2"/>
  <c r="AJ4659" i="2"/>
  <c r="AF4660" i="2"/>
  <c r="AK4660" i="2" s="1"/>
  <c r="AG4660" i="2"/>
  <c r="AL4660" i="2" s="1"/>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s="1"/>
  <c r="AG4669" i="2"/>
  <c r="AL4669" i="2" s="1"/>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s="1"/>
  <c r="AG4678" i="2"/>
  <c r="AH4678" i="2"/>
  <c r="AL4678" i="2" s="1"/>
  <c r="AI4678" i="2"/>
  <c r="AJ4678" i="2"/>
  <c r="AF4679" i="2"/>
  <c r="AK4679" i="2" s="1"/>
  <c r="AG4679" i="2"/>
  <c r="AH4679" i="2"/>
  <c r="AI4679" i="2"/>
  <c r="AJ4679" i="2"/>
  <c r="AF4680" i="2"/>
  <c r="AK4680" i="2" s="1"/>
  <c r="AG4680" i="2"/>
  <c r="AH4680" i="2"/>
  <c r="AI4680" i="2"/>
  <c r="AJ4680" i="2"/>
  <c r="AF4681" i="2"/>
  <c r="AK4681" i="2"/>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s="1"/>
  <c r="AG4689" i="2"/>
  <c r="AH4689" i="2"/>
  <c r="AL4689" i="2" s="1"/>
  <c r="AI4689" i="2"/>
  <c r="AJ4689" i="2"/>
  <c r="AF4690" i="2"/>
  <c r="AK4690" i="2" s="1"/>
  <c r="AG4690" i="2"/>
  <c r="AH4690" i="2"/>
  <c r="AI4690" i="2"/>
  <c r="AJ4690" i="2"/>
  <c r="AF4691" i="2"/>
  <c r="AK4691" i="2"/>
  <c r="AG4691" i="2"/>
  <c r="AH4691" i="2"/>
  <c r="AI4691" i="2"/>
  <c r="AL4691" i="2" s="1"/>
  <c r="AJ4691" i="2"/>
  <c r="AF4692" i="2"/>
  <c r="AK4692" i="2"/>
  <c r="AG4692" i="2"/>
  <c r="AH4692" i="2"/>
  <c r="AI4692" i="2"/>
  <c r="AJ4692" i="2"/>
  <c r="AF4693" i="2"/>
  <c r="AK4693" i="2" s="1"/>
  <c r="AG4693" i="2"/>
  <c r="AH4693" i="2"/>
  <c r="AI4693" i="2"/>
  <c r="AJ4693" i="2"/>
  <c r="AF4694" i="2"/>
  <c r="AK4694" i="2" s="1"/>
  <c r="AG4694" i="2"/>
  <c r="AH4694" i="2"/>
  <c r="AI4694" i="2"/>
  <c r="AJ4694" i="2"/>
  <c r="AL4694" i="2" s="1"/>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G4701" i="2"/>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L4705" i="2" s="1"/>
  <c r="AI4705" i="2"/>
  <c r="AJ4705" i="2"/>
  <c r="AF4706" i="2"/>
  <c r="AK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L4713" i="2" s="1"/>
  <c r="AF4714" i="2"/>
  <c r="AK4714" i="2"/>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s="1"/>
  <c r="AG4739" i="2"/>
  <c r="AH4739" i="2"/>
  <c r="AI4739" i="2"/>
  <c r="AJ4739" i="2"/>
  <c r="AF4740" i="2"/>
  <c r="AK4740" i="2"/>
  <c r="AG4740" i="2"/>
  <c r="AH4740" i="2"/>
  <c r="AI4740" i="2"/>
  <c r="AJ4740" i="2"/>
  <c r="AF4741" i="2"/>
  <c r="AK4741" i="2" s="1"/>
  <c r="AG4741" i="2"/>
  <c r="AH4741" i="2"/>
  <c r="AI4741" i="2"/>
  <c r="AJ4741" i="2"/>
  <c r="AF4742" i="2"/>
  <c r="AK4742" i="2" s="1"/>
  <c r="AG4742" i="2"/>
  <c r="AH4742" i="2"/>
  <c r="AI4742" i="2"/>
  <c r="AJ4742" i="2"/>
  <c r="AF4743" i="2"/>
  <c r="AK4743" i="2" s="1"/>
  <c r="AG4743" i="2"/>
  <c r="AH4743" i="2"/>
  <c r="AI4743" i="2"/>
  <c r="AJ4743" i="2"/>
  <c r="AF4744" i="2"/>
  <c r="AK4744" i="2" s="1"/>
  <c r="AG4744" i="2"/>
  <c r="AH4744" i="2"/>
  <c r="AI4744" i="2"/>
  <c r="AJ4744" i="2"/>
  <c r="AF4745" i="2"/>
  <c r="AK4745" i="2" s="1"/>
  <c r="AG4745" i="2"/>
  <c r="AH4745" i="2"/>
  <c r="AL4745" i="2" s="1"/>
  <c r="AI4745" i="2"/>
  <c r="AJ4745" i="2"/>
  <c r="AF4746" i="2"/>
  <c r="AK4746" i="2"/>
  <c r="AG4746" i="2"/>
  <c r="AH4746" i="2"/>
  <c r="AI4746" i="2"/>
  <c r="AJ4746" i="2"/>
  <c r="AF4747" i="2"/>
  <c r="AK4747" i="2" s="1"/>
  <c r="AG4747" i="2"/>
  <c r="AH4747" i="2"/>
  <c r="AL4747" i="2" s="1"/>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s="1"/>
  <c r="AG4753" i="2"/>
  <c r="AH4753" i="2"/>
  <c r="AI4753" i="2"/>
  <c r="AJ4753" i="2"/>
  <c r="AF4754" i="2"/>
  <c r="AK4754" i="2" s="1"/>
  <c r="AL4754" i="2" s="1"/>
  <c r="AG4754" i="2"/>
  <c r="AH4754" i="2"/>
  <c r="AI4754" i="2"/>
  <c r="AJ4754" i="2"/>
  <c r="AF4755" i="2"/>
  <c r="AK4755" i="2" s="1"/>
  <c r="AG4755" i="2"/>
  <c r="AH4755" i="2"/>
  <c r="AI4755" i="2"/>
  <c r="AJ4755" i="2"/>
  <c r="AF4756" i="2"/>
  <c r="AK4756" i="2"/>
  <c r="AL4756" i="2" s="1"/>
  <c r="AG4756" i="2"/>
  <c r="AH4756" i="2"/>
  <c r="AI4756" i="2"/>
  <c r="AJ4756" i="2"/>
  <c r="AF4757" i="2"/>
  <c r="AK4757" i="2"/>
  <c r="AG4757" i="2"/>
  <c r="AH4757" i="2"/>
  <c r="AI4757" i="2"/>
  <c r="AJ4757" i="2"/>
  <c r="AF4758" i="2"/>
  <c r="AK4758" i="2" s="1"/>
  <c r="AG4758" i="2"/>
  <c r="AL4758" i="2" s="1"/>
  <c r="AH4758" i="2"/>
  <c r="AI4758" i="2"/>
  <c r="AJ4758" i="2"/>
  <c r="AF4759" i="2"/>
  <c r="AK4759" i="2" s="1"/>
  <c r="AL4759" i="2" s="1"/>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s="1"/>
  <c r="AG4764" i="2"/>
  <c r="AH4764" i="2"/>
  <c r="AI4764" i="2"/>
  <c r="AJ4764" i="2"/>
  <c r="AF4765" i="2"/>
  <c r="AK4765" i="2" s="1"/>
  <c r="AG4765" i="2"/>
  <c r="AH4765" i="2"/>
  <c r="AI4765" i="2"/>
  <c r="AJ4765" i="2"/>
  <c r="AF4766" i="2"/>
  <c r="AK4766" i="2"/>
  <c r="AG4766" i="2"/>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H4770" i="2"/>
  <c r="AI4770" i="2"/>
  <c r="AJ4770" i="2"/>
  <c r="AF4771" i="2"/>
  <c r="AK4771" i="2" s="1"/>
  <c r="AG4771" i="2"/>
  <c r="AH4771" i="2"/>
  <c r="AI4771" i="2"/>
  <c r="AJ4771" i="2"/>
  <c r="AF4772" i="2"/>
  <c r="AK4772" i="2" s="1"/>
  <c r="AL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L4781" i="2" s="1"/>
  <c r="AF4782" i="2"/>
  <c r="AK4782" i="2" s="1"/>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J4785" i="2"/>
  <c r="AF4786" i="2"/>
  <c r="AK4786" i="2" s="1"/>
  <c r="AL4786" i="2" s="1"/>
  <c r="AG4786" i="2"/>
  <c r="AH4786" i="2"/>
  <c r="AI4786" i="2"/>
  <c r="AJ4786" i="2"/>
  <c r="AF4787" i="2"/>
  <c r="AK4787" i="2"/>
  <c r="AG4787" i="2"/>
  <c r="AH4787" i="2"/>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s="1"/>
  <c r="AG4799" i="2"/>
  <c r="AH4799" i="2"/>
  <c r="AI4799" i="2"/>
  <c r="AJ4799" i="2"/>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s="1"/>
  <c r="AG4806" i="2"/>
  <c r="AH4806" i="2"/>
  <c r="AI4806" i="2"/>
  <c r="AJ4806" i="2"/>
  <c r="AF4807" i="2"/>
  <c r="AK4807" i="2" s="1"/>
  <c r="AG4807" i="2"/>
  <c r="AL4807" i="2" s="1"/>
  <c r="AH4807" i="2"/>
  <c r="AI4807" i="2"/>
  <c r="AJ4807" i="2"/>
  <c r="AF4808" i="2"/>
  <c r="AK4808" i="2" s="1"/>
  <c r="AG4808" i="2"/>
  <c r="AH4808" i="2"/>
  <c r="AI4808" i="2"/>
  <c r="AJ4808" i="2"/>
  <c r="AF4809" i="2"/>
  <c r="AK4809" i="2" s="1"/>
  <c r="AG4809" i="2"/>
  <c r="AH4809" i="2"/>
  <c r="AI4809" i="2"/>
  <c r="AJ4809" i="2"/>
  <c r="AF4810" i="2"/>
  <c r="AK4810" i="2"/>
  <c r="AG4810" i="2"/>
  <c r="AH4810" i="2"/>
  <c r="AI4810" i="2"/>
  <c r="AJ4810" i="2"/>
  <c r="AF4811" i="2"/>
  <c r="AK4811" i="2"/>
  <c r="AG4811" i="2"/>
  <c r="AH4811" i="2"/>
  <c r="AI4811" i="2"/>
  <c r="AL4811" i="2" s="1"/>
  <c r="AJ4811" i="2"/>
  <c r="AF4812" i="2"/>
  <c r="AK4812" i="2"/>
  <c r="AG4812" i="2"/>
  <c r="AH4812" i="2"/>
  <c r="AI4812" i="2"/>
  <c r="AJ4812" i="2"/>
  <c r="AF4813" i="2"/>
  <c r="AK4813" i="2"/>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s="1"/>
  <c r="AG4817" i="2"/>
  <c r="AH4817" i="2"/>
  <c r="AI4817" i="2"/>
  <c r="AL4817" i="2" s="1"/>
  <c r="AJ4817" i="2"/>
  <c r="AF4818" i="2"/>
  <c r="AK4818" i="2" s="1"/>
  <c r="AL4818" i="2" s="1"/>
  <c r="AG4818" i="2"/>
  <c r="AH4818" i="2"/>
  <c r="AI4818" i="2"/>
  <c r="AJ4818" i="2"/>
  <c r="AF4819" i="2"/>
  <c r="AK4819" i="2" s="1"/>
  <c r="AG4819" i="2"/>
  <c r="AH4819" i="2"/>
  <c r="AI4819" i="2"/>
  <c r="AJ4819" i="2"/>
  <c r="AL4819" i="2" s="1"/>
  <c r="AF4820" i="2"/>
  <c r="AK4820" i="2"/>
  <c r="AG4820" i="2"/>
  <c r="AH4820" i="2"/>
  <c r="AI4820" i="2"/>
  <c r="AJ4820" i="2"/>
  <c r="AF4821" i="2"/>
  <c r="AK4821" i="2" s="1"/>
  <c r="AG4821" i="2"/>
  <c r="AH4821" i="2"/>
  <c r="AI4821" i="2"/>
  <c r="AJ4821" i="2"/>
  <c r="AF4822" i="2"/>
  <c r="AK4822" i="2" s="1"/>
  <c r="AG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s="1"/>
  <c r="AG4829" i="2"/>
  <c r="AL4829" i="2" s="1"/>
  <c r="AH4829" i="2"/>
  <c r="AI4829" i="2"/>
  <c r="AJ4829" i="2"/>
  <c r="AF4830" i="2"/>
  <c r="AK4830" i="2" s="1"/>
  <c r="AG4830" i="2"/>
  <c r="AH4830" i="2"/>
  <c r="AI4830" i="2"/>
  <c r="AL4830" i="2" s="1"/>
  <c r="AJ4830" i="2"/>
  <c r="AF4831" i="2"/>
  <c r="AK4831" i="2"/>
  <c r="AG4831" i="2"/>
  <c r="AH4831" i="2"/>
  <c r="AI4831" i="2"/>
  <c r="AJ4831" i="2"/>
  <c r="AF4832" i="2"/>
  <c r="AK4832" i="2"/>
  <c r="AG4832" i="2"/>
  <c r="AH4832" i="2"/>
  <c r="AL4832" i="2" s="1"/>
  <c r="AI4832" i="2"/>
  <c r="AJ4832" i="2"/>
  <c r="AF4833" i="2"/>
  <c r="AK4833" i="2" s="1"/>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G4839" i="2"/>
  <c r="AH4839" i="2"/>
  <c r="AL4839" i="2" s="1"/>
  <c r="AI4839" i="2"/>
  <c r="AJ4839" i="2"/>
  <c r="AF4840" i="2"/>
  <c r="AK4840" i="2"/>
  <c r="AG4840" i="2"/>
  <c r="AH4840" i="2"/>
  <c r="AI4840" i="2"/>
  <c r="AL4840" i="2" s="1"/>
  <c r="AJ4840" i="2"/>
  <c r="AF4841" i="2"/>
  <c r="AK4841" i="2" s="1"/>
  <c r="AG4841" i="2"/>
  <c r="AH4841" i="2"/>
  <c r="AI4841" i="2"/>
  <c r="AJ4841" i="2"/>
  <c r="AF4842" i="2"/>
  <c r="AK4842" i="2"/>
  <c r="AG4842" i="2"/>
  <c r="AH4842" i="2"/>
  <c r="AI4842" i="2"/>
  <c r="AJ4842" i="2"/>
  <c r="AF4843" i="2"/>
  <c r="AK4843" i="2" s="1"/>
  <c r="AL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s="1"/>
  <c r="AG4848" i="2"/>
  <c r="AH4848" i="2"/>
  <c r="AI4848" i="2"/>
  <c r="AJ4848" i="2"/>
  <c r="AF4849" i="2"/>
  <c r="AK4849" i="2" s="1"/>
  <c r="AG4849" i="2"/>
  <c r="AH4849" i="2"/>
  <c r="AI4849" i="2"/>
  <c r="AJ4849" i="2"/>
  <c r="AF4850" i="2"/>
  <c r="AK4850" i="2" s="1"/>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s="1"/>
  <c r="AG4854" i="2"/>
  <c r="AH4854" i="2"/>
  <c r="AI4854" i="2"/>
  <c r="AJ4854" i="2"/>
  <c r="AF4855" i="2"/>
  <c r="AK4855" i="2"/>
  <c r="AG4855" i="2"/>
  <c r="AH4855" i="2"/>
  <c r="AL4855" i="2" s="1"/>
  <c r="AI4855" i="2"/>
  <c r="AJ4855" i="2"/>
  <c r="AF4856" i="2"/>
  <c r="AK4856" i="2" s="1"/>
  <c r="AL4856" i="2" s="1"/>
  <c r="AG4856" i="2"/>
  <c r="AH4856" i="2"/>
  <c r="AI4856" i="2"/>
  <c r="AJ4856" i="2"/>
  <c r="AF4857" i="2"/>
  <c r="AK4857" i="2" s="1"/>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s="1"/>
  <c r="AG4861" i="2"/>
  <c r="AH4861" i="2"/>
  <c r="AI4861" i="2"/>
  <c r="AJ4861" i="2"/>
  <c r="AF4862" i="2"/>
  <c r="AK4862" i="2"/>
  <c r="AG4862" i="2"/>
  <c r="AL4862" i="2" s="1"/>
  <c r="AH4862" i="2"/>
  <c r="AI4862" i="2"/>
  <c r="AJ4862" i="2"/>
  <c r="AF4863" i="2"/>
  <c r="AK4863" i="2" s="1"/>
  <c r="AG4863" i="2"/>
  <c r="AH4863" i="2"/>
  <c r="AI4863" i="2"/>
  <c r="AJ4863" i="2"/>
  <c r="AF4864" i="2"/>
  <c r="AK4864" i="2"/>
  <c r="AG4864" i="2"/>
  <c r="AH4864" i="2"/>
  <c r="AI4864" i="2"/>
  <c r="AJ4864" i="2"/>
  <c r="AF4865" i="2"/>
  <c r="AK4865" i="2" s="1"/>
  <c r="AG4865" i="2"/>
  <c r="AH4865" i="2"/>
  <c r="AI4865" i="2"/>
  <c r="AJ4865" i="2"/>
  <c r="AF4866" i="2"/>
  <c r="AK4866" i="2" s="1"/>
  <c r="AG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s="1"/>
  <c r="AG4874" i="2"/>
  <c r="AH4874" i="2"/>
  <c r="AI4874" i="2"/>
  <c r="AJ4874" i="2"/>
  <c r="AF4875" i="2"/>
  <c r="AK4875" i="2"/>
  <c r="AL4875" i="2" s="1"/>
  <c r="AG4875" i="2"/>
  <c r="AH4875" i="2"/>
  <c r="AI4875" i="2"/>
  <c r="AJ4875" i="2"/>
  <c r="AF4876" i="2"/>
  <c r="AK4876" i="2" s="1"/>
  <c r="AG4876" i="2"/>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H4887" i="2"/>
  <c r="AI4887" i="2"/>
  <c r="AJ4887" i="2"/>
  <c r="AF4888" i="2"/>
  <c r="AK4888" i="2" s="1"/>
  <c r="AG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L4895" i="2" s="1"/>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J4899" i="2"/>
  <c r="AF4900" i="2"/>
  <c r="AK4900" i="2" s="1"/>
  <c r="AG4900" i="2"/>
  <c r="AH4900" i="2"/>
  <c r="AI4900" i="2"/>
  <c r="AJ4900" i="2"/>
  <c r="AF4901" i="2"/>
  <c r="AK4901" i="2"/>
  <c r="AG4901" i="2"/>
  <c r="AH4901" i="2"/>
  <c r="AI4901" i="2"/>
  <c r="AJ4901" i="2"/>
  <c r="AL4901" i="2" s="1"/>
  <c r="AF4902" i="2"/>
  <c r="AK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s="1"/>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J4909" i="2"/>
  <c r="AF4910" i="2"/>
  <c r="AK4910" i="2" s="1"/>
  <c r="AG4910" i="2"/>
  <c r="AH4910" i="2"/>
  <c r="AI4910" i="2"/>
  <c r="AJ4910" i="2"/>
  <c r="AF4911" i="2"/>
  <c r="AK4911" i="2" s="1"/>
  <c r="AG4911" i="2"/>
  <c r="AH4911" i="2"/>
  <c r="AI4911" i="2"/>
  <c r="AJ4911" i="2"/>
  <c r="AF4912" i="2"/>
  <c r="AK4912" i="2" s="1"/>
  <c r="AG4912" i="2"/>
  <c r="AL4912" i="2" s="1"/>
  <c r="AH4912" i="2"/>
  <c r="AI4912" i="2"/>
  <c r="AJ4912" i="2"/>
  <c r="AF4913" i="2"/>
  <c r="AK4913" i="2" s="1"/>
  <c r="AG4913" i="2"/>
  <c r="AH4913" i="2"/>
  <c r="AI4913" i="2"/>
  <c r="AJ4913" i="2"/>
  <c r="AF4914" i="2"/>
  <c r="AK4914" i="2" s="1"/>
  <c r="AG4914" i="2"/>
  <c r="AL4914" i="2" s="1"/>
  <c r="AH4914" i="2"/>
  <c r="AI4914" i="2"/>
  <c r="AJ4914" i="2"/>
  <c r="AF4915" i="2"/>
  <c r="AK4915" i="2" s="1"/>
  <c r="AG4915" i="2"/>
  <c r="AH4915" i="2"/>
  <c r="AI4915" i="2"/>
  <c r="AJ4915" i="2"/>
  <c r="AF4916" i="2"/>
  <c r="AK4916" i="2"/>
  <c r="AG4916" i="2"/>
  <c r="AH4916" i="2"/>
  <c r="AL4916" i="2" s="1"/>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G4920" i="2"/>
  <c r="AH4920" i="2"/>
  <c r="AI4920" i="2"/>
  <c r="AJ4920" i="2"/>
  <c r="AF4921" i="2"/>
  <c r="AK4921" i="2"/>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s="1"/>
  <c r="AG4925" i="2"/>
  <c r="AL4925" i="2" s="1"/>
  <c r="AH4925" i="2"/>
  <c r="AI4925" i="2"/>
  <c r="AJ4925" i="2"/>
  <c r="AF4926" i="2"/>
  <c r="AK4926" i="2"/>
  <c r="AG4926" i="2"/>
  <c r="AH4926" i="2"/>
  <c r="AI4926" i="2"/>
  <c r="AJ4926" i="2"/>
  <c r="AF4927" i="2"/>
  <c r="AK4927" i="2" s="1"/>
  <c r="AG4927" i="2"/>
  <c r="AH4927" i="2"/>
  <c r="AI4927" i="2"/>
  <c r="AJ4927" i="2"/>
  <c r="AF4928" i="2"/>
  <c r="AK4928" i="2"/>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s="1"/>
  <c r="AG4951" i="2"/>
  <c r="AH4951" i="2"/>
  <c r="AI4951" i="2"/>
  <c r="AJ4951" i="2"/>
  <c r="AL4951" i="2" s="1"/>
  <c r="AF4952" i="2"/>
  <c r="AG4952" i="2"/>
  <c r="AH4952" i="2"/>
  <c r="AI4952" i="2"/>
  <c r="AJ4952" i="2"/>
  <c r="AK4952" i="2"/>
  <c r="AF4953" i="2"/>
  <c r="AK4953" i="2" s="1"/>
  <c r="AG4953" i="2"/>
  <c r="AH4953" i="2"/>
  <c r="AI4953" i="2"/>
  <c r="AJ4953" i="2"/>
  <c r="AF4954" i="2"/>
  <c r="AK4954" i="2"/>
  <c r="AG4954" i="2"/>
  <c r="AH4954" i="2"/>
  <c r="AI4954" i="2"/>
  <c r="AJ4954" i="2"/>
  <c r="AF4955" i="2"/>
  <c r="AK4955" i="2" s="1"/>
  <c r="AG4955" i="2"/>
  <c r="AH4955" i="2"/>
  <c r="AI4955" i="2"/>
  <c r="AJ4955" i="2"/>
  <c r="AL4955" i="2" s="1"/>
  <c r="AF4956" i="2"/>
  <c r="AK4956" i="2"/>
  <c r="AG4956" i="2"/>
  <c r="AH4956" i="2"/>
  <c r="AI4956" i="2"/>
  <c r="AL4956" i="2" s="1"/>
  <c r="AJ4956" i="2"/>
  <c r="AF4957" i="2"/>
  <c r="AK4957" i="2" s="1"/>
  <c r="AG4957" i="2"/>
  <c r="AH4957" i="2"/>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G4963" i="2"/>
  <c r="AH4963" i="2"/>
  <c r="AI4963" i="2"/>
  <c r="AJ4963" i="2"/>
  <c r="AF4964" i="2"/>
  <c r="AK4964" i="2" s="1"/>
  <c r="AG4964" i="2"/>
  <c r="AH4964" i="2"/>
  <c r="AI4964" i="2"/>
  <c r="AJ4964" i="2"/>
  <c r="AF4965" i="2"/>
  <c r="AK4965" i="2" s="1"/>
  <c r="AG4965" i="2"/>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L4973" i="2" s="1"/>
  <c r="AG4973" i="2"/>
  <c r="AH4973" i="2"/>
  <c r="AI4973" i="2"/>
  <c r="AJ4973" i="2"/>
  <c r="AF4974" i="2"/>
  <c r="AK4974" i="2" s="1"/>
  <c r="AG4974" i="2"/>
  <c r="AH4974" i="2"/>
  <c r="AI4974" i="2"/>
  <c r="AJ4974" i="2"/>
  <c r="AF4975" i="2"/>
  <c r="AK4975" i="2" s="1"/>
  <c r="AG4975" i="2"/>
  <c r="AH4975" i="2"/>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L4979" i="2" s="1"/>
  <c r="AJ4979" i="2"/>
  <c r="AF4980" i="2"/>
  <c r="AK4980" i="2"/>
  <c r="AG4980" i="2"/>
  <c r="AH4980" i="2"/>
  <c r="AI4980" i="2"/>
  <c r="AJ4980" i="2"/>
  <c r="AF4981" i="2"/>
  <c r="AK4981" i="2"/>
  <c r="AG4981" i="2"/>
  <c r="AH4981" i="2"/>
  <c r="AI4981" i="2"/>
  <c r="AL4981" i="2" s="1"/>
  <c r="AJ4981" i="2"/>
  <c r="AF4982" i="2"/>
  <c r="AK4982" i="2"/>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s="1"/>
  <c r="AG4986" i="2"/>
  <c r="AH4986" i="2"/>
  <c r="AI4986" i="2"/>
  <c r="AJ4986" i="2"/>
  <c r="AF4987" i="2"/>
  <c r="AK4987" i="2" s="1"/>
  <c r="AG4987" i="2"/>
  <c r="AH4987" i="2"/>
  <c r="AI4987" i="2"/>
  <c r="AJ4987" i="2"/>
  <c r="AF4988" i="2"/>
  <c r="AK4988" i="2"/>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L4992" i="2" s="1"/>
  <c r="AG4992" i="2"/>
  <c r="AH4992" i="2"/>
  <c r="AI4992" i="2"/>
  <c r="AJ4992" i="2"/>
  <c r="AF4993" i="2"/>
  <c r="AK4993" i="2" s="1"/>
  <c r="AG4993" i="2"/>
  <c r="AH4993" i="2"/>
  <c r="AI4993" i="2"/>
  <c r="AJ4993" i="2"/>
  <c r="AF4994" i="2"/>
  <c r="AK4994" i="2" s="1"/>
  <c r="AG4994" i="2"/>
  <c r="AH4994" i="2"/>
  <c r="AI4994" i="2"/>
  <c r="AJ4994" i="2"/>
  <c r="AF4995" i="2"/>
  <c r="AK4995" i="2" s="1"/>
  <c r="AG4995" i="2"/>
  <c r="AH4995" i="2"/>
  <c r="AI4995" i="2"/>
  <c r="AJ4995" i="2"/>
  <c r="AF4996" i="2"/>
  <c r="AK4996" i="2" s="1"/>
  <c r="AG4996" i="2"/>
  <c r="AH4996" i="2"/>
  <c r="AI4996" i="2"/>
  <c r="AJ4996" i="2"/>
  <c r="AF4997" i="2"/>
  <c r="AK4997" i="2"/>
  <c r="AG4997" i="2"/>
  <c r="AH4997" i="2"/>
  <c r="AI4997" i="2"/>
  <c r="AJ4997" i="2"/>
  <c r="AF4998" i="2"/>
  <c r="AK4998" i="2"/>
  <c r="AG4998" i="2"/>
  <c r="AH4998" i="2"/>
  <c r="AI4998" i="2"/>
  <c r="AJ4998" i="2"/>
  <c r="AL5000" i="2"/>
  <c r="AL5008" i="2"/>
  <c r="AL5012" i="2"/>
  <c r="AL5016" i="2"/>
  <c r="AL5020" i="2"/>
  <c r="AL5024" i="2"/>
  <c r="AL5028" i="2"/>
  <c r="AL5032" i="2"/>
  <c r="AL5036" i="2"/>
  <c r="AL5040" i="2"/>
  <c r="AL5044" i="2"/>
  <c r="AL5048"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36" i="2"/>
  <c r="AL3512" i="2"/>
  <c r="AL3459" i="2"/>
  <c r="AL3395" i="2"/>
  <c r="AL3384" i="2"/>
  <c r="AL3331" i="2"/>
  <c r="AL3267" i="2"/>
  <c r="AL3256" i="2"/>
  <c r="AL3203" i="2"/>
  <c r="AL3192" i="2"/>
  <c r="AL69" i="2"/>
  <c r="AL61" i="2"/>
  <c r="AL53" i="2"/>
  <c r="AL45" i="2"/>
  <c r="AL37" i="2"/>
  <c r="AL21" i="2"/>
  <c r="AM21" i="2" s="1"/>
  <c r="AL3639" i="2"/>
  <c r="AL3607" i="2"/>
  <c r="AL3575" i="2"/>
  <c r="AL3543" i="2"/>
  <c r="AL3495" i="2"/>
  <c r="AL3483" i="2"/>
  <c r="AL3472" i="2"/>
  <c r="AL3466" i="2"/>
  <c r="AL3431" i="2"/>
  <c r="AL3419" i="2"/>
  <c r="AL3408"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03" i="2"/>
  <c r="AL3584" i="2"/>
  <c r="AL3539" i="2"/>
  <c r="AL3503" i="2"/>
  <c r="AL3491" i="2"/>
  <c r="AL3427" i="2"/>
  <c r="AL3375" i="2"/>
  <c r="AL3352" i="2"/>
  <c r="AL3311"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605" i="2"/>
  <c r="AL3592" i="2"/>
  <c r="AL3586" i="2"/>
  <c r="AL3573" i="2"/>
  <c r="AL3560" i="2"/>
  <c r="AL3547" i="2"/>
  <c r="AL3541" i="2"/>
  <c r="AL3528" i="2"/>
  <c r="AL3522" i="2"/>
  <c r="AL3487" i="2"/>
  <c r="AL3475" i="2"/>
  <c r="AL3458" i="2"/>
  <c r="AL3423" i="2"/>
  <c r="AL3411" i="2"/>
  <c r="AL3394" i="2"/>
  <c r="AL3359"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0" i="2"/>
  <c r="AL2532" i="2"/>
  <c r="AL2524" i="2"/>
  <c r="AL2516" i="2"/>
  <c r="AL2508" i="2"/>
  <c r="AL2500" i="2"/>
  <c r="AL2492" i="2"/>
  <c r="AL2484" i="2"/>
  <c r="AL2460" i="2"/>
  <c r="AL2452" i="2"/>
  <c r="AL2444" i="2"/>
  <c r="AL2428"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58" i="2"/>
  <c r="AL2550" i="2"/>
  <c r="AL2534" i="2"/>
  <c r="AL2526" i="2"/>
  <c r="AL2518" i="2"/>
  <c r="AL2510" i="2"/>
  <c r="AL2502" i="2"/>
  <c r="AL2494" i="2"/>
  <c r="AL2486" i="2"/>
  <c r="AL2478" i="2"/>
  <c r="AL2470"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54" i="2"/>
  <c r="AL2538" i="2"/>
  <c r="AL2514" i="2"/>
  <c r="AL2506" i="2"/>
  <c r="AL2498" i="2"/>
  <c r="AL2490" i="2"/>
  <c r="AL2474" i="2"/>
  <c r="AL2466" i="2"/>
  <c r="AL2458" i="2"/>
  <c r="AL2450" i="2"/>
  <c r="AL2442"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47" i="2"/>
  <c r="AL2531" i="2"/>
  <c r="AL2523" i="2"/>
  <c r="AL2515" i="2"/>
  <c r="AL2491"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1974" i="2"/>
  <c r="AL2081"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26"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65" i="2"/>
  <c r="AL1759" i="2"/>
  <c r="AL1749"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1" i="2"/>
  <c r="AL1753" i="2"/>
  <c r="AL1741" i="2"/>
  <c r="AL1731" i="2"/>
  <c r="AL1725" i="2"/>
  <c r="AL1715" i="2"/>
  <c r="AL1709" i="2"/>
  <c r="AL1693" i="2"/>
  <c r="AL1683" i="2"/>
  <c r="AL1677" i="2"/>
  <c r="AL1667" i="2"/>
  <c r="AL166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58" i="2"/>
  <c r="AL1750" i="2"/>
  <c r="AL1734" i="2"/>
  <c r="AL1718" i="2"/>
  <c r="AL1702" i="2"/>
  <c r="AL1686" i="2"/>
  <c r="AL1670" i="2"/>
  <c r="AL1654" i="2"/>
  <c r="AL1638" i="2"/>
  <c r="AL1628" i="2"/>
  <c r="AL1622" i="2"/>
  <c r="AL1616" i="2"/>
  <c r="AL1606" i="2"/>
  <c r="AL1564" i="2"/>
  <c r="AL1543" i="2"/>
  <c r="AL1502" i="2"/>
  <c r="AL1743" i="2"/>
  <c r="AL1735" i="2"/>
  <c r="AL1719" i="2"/>
  <c r="AL1711" i="2"/>
  <c r="AL1695" i="2"/>
  <c r="AL1687" i="2"/>
  <c r="AL1671" i="2"/>
  <c r="AL1663" i="2"/>
  <c r="AL1655" i="2"/>
  <c r="AL1647"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2" i="2"/>
  <c r="AL1372" i="2"/>
  <c r="AL1345" i="2"/>
  <c r="AL1746" i="2"/>
  <c r="AL1738" i="2"/>
  <c r="AL1730" i="2"/>
  <c r="AL1722" i="2"/>
  <c r="AL1706" i="2"/>
  <c r="AL1698"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32" i="2"/>
  <c r="AL1724" i="2"/>
  <c r="AL1716" i="2"/>
  <c r="AL1708" i="2"/>
  <c r="AL1700" i="2"/>
  <c r="AL1684" i="2"/>
  <c r="AL1676"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M153" i="2" s="1"/>
  <c r="AL149" i="2"/>
  <c r="AL145" i="2"/>
  <c r="AL141" i="2"/>
  <c r="AL137" i="2"/>
  <c r="AL133" i="2"/>
  <c r="AL129" i="2"/>
  <c r="AL125" i="2"/>
  <c r="AL121" i="2"/>
  <c r="AL117" i="2"/>
  <c r="AL113" i="2"/>
  <c r="AL109" i="2"/>
  <c r="AL105" i="2"/>
  <c r="AL101" i="2"/>
  <c r="AL97" i="2"/>
  <c r="AL93" i="2"/>
  <c r="AL83" i="2"/>
  <c r="AL158"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41" i="2"/>
  <c r="AL4509" i="2"/>
  <c r="AL4665" i="2"/>
  <c r="AL4329" i="2"/>
  <c r="AL4200" i="2"/>
  <c r="AL4149" i="2"/>
  <c r="AL4136" i="2"/>
  <c r="AL4062" i="2"/>
  <c r="AL4395" i="2"/>
  <c r="AL4387" i="2"/>
  <c r="AL4337" i="2"/>
  <c r="AL4293" i="2"/>
  <c r="AL4368" i="2"/>
  <c r="AL4341" i="2"/>
  <c r="AL4331" i="2"/>
  <c r="AL4239" i="2"/>
  <c r="AL4235" i="2"/>
  <c r="AL4184" i="2"/>
  <c r="AL4175" i="2"/>
  <c r="AL4140" i="2"/>
  <c r="AL4133" i="2"/>
  <c r="AL4120" i="2"/>
  <c r="AL4076" i="2"/>
  <c r="AL4069" i="2"/>
  <c r="AL4064" i="2"/>
  <c r="AL4059" i="2"/>
  <c r="AL4032" i="2"/>
  <c r="AL4027" i="2"/>
  <c r="AL4012" i="2"/>
  <c r="AL3996" i="2"/>
  <c r="AL3980" i="2"/>
  <c r="AL4353" i="2"/>
  <c r="AL4339" i="2"/>
  <c r="AL4312"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16" i="2"/>
  <c r="AL4000" i="2"/>
  <c r="AL3984" i="2"/>
  <c r="AL4369" i="2"/>
  <c r="AL4355" i="2"/>
  <c r="AL4247" i="2"/>
  <c r="AL4243" i="2"/>
  <c r="AL4185" i="2"/>
  <c r="AL4183" i="2"/>
  <c r="AL4179" i="2"/>
  <c r="AL4121" i="2"/>
  <c r="AL4119" i="2"/>
  <c r="AL4115" i="2"/>
  <c r="AL4040" i="2"/>
  <c r="AL4469" i="2"/>
  <c r="AL4401" i="2"/>
  <c r="AL4363" i="2"/>
  <c r="AL4307" i="2"/>
  <c r="AL4281" i="2"/>
  <c r="AL4279"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70" i="2"/>
  <c r="AL3759" i="2"/>
  <c r="AL3733" i="2"/>
  <c r="AL3719" i="2"/>
  <c r="AL3658" i="2"/>
  <c r="AL3471" i="2"/>
  <c r="AL3298" i="2"/>
  <c r="AL3942" i="2"/>
  <c r="AL3890" i="2"/>
  <c r="AL3767" i="2"/>
  <c r="AL3570" i="2"/>
  <c r="AL3511" i="2"/>
  <c r="AL4058" i="2"/>
  <c r="AL4042" i="2"/>
  <c r="AL4026" i="2"/>
  <c r="AL3913" i="2"/>
  <c r="AL3909" i="2"/>
  <c r="AL3894" i="2"/>
  <c r="AL3857" i="2"/>
  <c r="AL3850" i="2"/>
  <c r="AL3837" i="2"/>
  <c r="AL3830" i="2"/>
  <c r="AL3828" i="2"/>
  <c r="AL3781" i="2"/>
  <c r="AL3731"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29"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11" i="2"/>
  <c r="AL4434" i="2"/>
  <c r="AL4720" i="2"/>
  <c r="AL4558" i="2"/>
  <c r="AL4697" i="2"/>
  <c r="AL4447" i="2"/>
  <c r="AL4215" i="2"/>
  <c r="AL4169" i="2"/>
  <c r="AL4163" i="2"/>
  <c r="AL4157" i="2"/>
  <c r="AL4086" i="2"/>
  <c r="AL4051" i="2"/>
  <c r="AL3935" i="2"/>
  <c r="AL3897" i="2"/>
  <c r="AL3803" i="2"/>
  <c r="AL3776"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4282" i="2"/>
  <c r="AL4267" i="2"/>
  <c r="AL4242" i="2"/>
  <c r="AL3940" i="2"/>
  <c r="AL3844" i="2"/>
  <c r="AL4283" i="2"/>
  <c r="AL4251" i="2"/>
  <c r="AL4224" i="2"/>
  <c r="AL4211" i="2"/>
  <c r="AL3782" i="2"/>
  <c r="AL3319" i="2"/>
  <c r="AL2971" i="2"/>
  <c r="AL4065" i="2"/>
  <c r="AL4013" i="2"/>
  <c r="AL3964" i="2"/>
  <c r="AL3960" i="2"/>
  <c r="AL381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08" i="2"/>
  <c r="AL4459" i="2"/>
  <c r="AL4433" i="2"/>
  <c r="AL4303" i="2"/>
  <c r="AL3843" i="2"/>
  <c r="AL4654" i="2"/>
  <c r="AL4501" i="2"/>
  <c r="AL4493" i="2"/>
  <c r="AL4466" i="2"/>
  <c r="AL4644" i="2"/>
  <c r="AL4494" i="2"/>
  <c r="AL4478" i="2"/>
  <c r="AL4454" i="2"/>
  <c r="AL4431" i="2"/>
  <c r="AL4338" i="2"/>
  <c r="AL4007" i="2"/>
  <c r="AL3986" i="2"/>
  <c r="AL4684" i="2"/>
  <c r="AL4633" i="2"/>
  <c r="AL4549" i="2"/>
  <c r="AL4461" i="2"/>
  <c r="AL4365" i="2"/>
  <c r="AL4330" i="2"/>
  <c r="AL4262" i="2"/>
  <c r="AL4166" i="2"/>
  <c r="AL3824" i="2"/>
  <c r="AL4359" i="2"/>
  <c r="AL4342" i="2"/>
  <c r="AL4241" i="2"/>
  <c r="AL4238" i="2"/>
  <c r="AL4094" i="2"/>
  <c r="AL4017"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4180" i="2"/>
  <c r="AL4176" i="2"/>
  <c r="AL4148" i="2"/>
  <c r="AL4113" i="2"/>
  <c r="AL4047" i="2"/>
  <c r="AL3995" i="2"/>
  <c r="AL3891" i="2"/>
  <c r="AL3879" i="2"/>
  <c r="AL3866" i="2"/>
  <c r="AL3806" i="2"/>
  <c r="AL3795" i="2"/>
  <c r="AL3783" i="2"/>
  <c r="AL3750" i="2"/>
  <c r="AL3701" i="2"/>
  <c r="AL4285" i="2"/>
  <c r="AL4264" i="2"/>
  <c r="AL4123" i="2"/>
  <c r="AL4089" i="2"/>
  <c r="AL4056" i="2"/>
  <c r="AL4045" i="2"/>
  <c r="AL4039" i="2"/>
  <c r="AL4019" i="2"/>
  <c r="AL3987" i="2"/>
  <c r="AL3895" i="2"/>
  <c r="AL3863" i="2"/>
  <c r="AL3815" i="2"/>
  <c r="AL3805" i="2"/>
  <c r="AL3800" i="2"/>
  <c r="AL3730" i="2"/>
  <c r="AL3713" i="2"/>
  <c r="AL3699" i="2"/>
  <c r="AL3519" i="2"/>
  <c r="AL3226" i="2"/>
  <c r="AL4198" i="2"/>
  <c r="AL4102" i="2"/>
  <c r="AL4057" i="2"/>
  <c r="AL3951" i="2"/>
  <c r="AL3931" i="2"/>
  <c r="AL3907" i="2"/>
  <c r="AL3903" i="2"/>
  <c r="AL3889" i="2"/>
  <c r="AL3807" i="2"/>
  <c r="AL3793" i="2"/>
  <c r="AL3748" i="2"/>
  <c r="AL3745" i="2"/>
  <c r="AL3703" i="2"/>
  <c r="AL3690"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482" i="2"/>
  <c r="AL4396" i="2"/>
  <c r="AL4668" i="2"/>
  <c r="AL4332" i="2"/>
  <c r="AL4910" i="2"/>
  <c r="AL4636" i="2"/>
  <c r="AL4617" i="2"/>
  <c r="AL4518" i="2"/>
  <c r="AL4837" i="2"/>
  <c r="AL4835" i="2"/>
  <c r="AL4629" i="2"/>
  <c r="AL4533" i="2"/>
  <c r="AL4487" i="2"/>
  <c r="AL4334" i="2"/>
  <c r="AL4233" i="2"/>
  <c r="AL4688" i="2"/>
  <c r="AL4503" i="2"/>
  <c r="AL4346" i="2"/>
  <c r="AL4253" i="2"/>
  <c r="AL4171" i="2"/>
  <c r="AL4154" i="2"/>
  <c r="AL4132" i="2"/>
  <c r="AL4093" i="2"/>
  <c r="AL3985" i="2"/>
  <c r="AL3839" i="2"/>
  <c r="AL3802" i="2"/>
  <c r="AL3524" i="2"/>
  <c r="AL3478" i="2"/>
  <c r="AL3416" i="2"/>
  <c r="AL4168" i="2"/>
  <c r="AL4155" i="2"/>
  <c r="AL4055" i="2"/>
  <c r="AL3886" i="2"/>
  <c r="AL4161" i="2"/>
  <c r="AL4073" i="2"/>
  <c r="AL4024" i="2"/>
  <c r="AL3912" i="2"/>
  <c r="AL3833" i="2"/>
  <c r="AL3826" i="2"/>
  <c r="AL3715" i="2"/>
  <c r="AL3640" i="2"/>
  <c r="AL3562"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309" i="2"/>
  <c r="AL4218"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M171" i="2" s="1"/>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M10" i="2"/>
  <c r="AL9" i="2"/>
  <c r="AM9" i="2" s="1"/>
  <c r="AL8" i="2"/>
  <c r="AM8" i="2"/>
  <c r="AL7" i="2"/>
  <c r="AM7" i="2" s="1"/>
  <c r="AL4797" i="2"/>
  <c r="AL4597" i="2"/>
  <c r="AL4704" i="2"/>
  <c r="AL4579" i="2"/>
  <c r="AL4785" i="2"/>
  <c r="AL4698" i="2"/>
  <c r="AL4850" i="2"/>
  <c r="AL4545" i="2"/>
  <c r="AL4385"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99" i="2"/>
  <c r="AL4647" i="2"/>
  <c r="AL4588" i="2"/>
  <c r="AL4582" i="2"/>
  <c r="AL4997" i="2"/>
  <c r="AL4961" i="2"/>
  <c r="AL4944" i="2"/>
  <c r="AL4806" i="2"/>
  <c r="AL4789" i="2"/>
  <c r="AL4766" i="2"/>
  <c r="AL4723" i="2"/>
  <c r="AL4675" i="2"/>
  <c r="AL4604" i="2"/>
  <c r="AL4506" i="2"/>
  <c r="AL4452" i="2"/>
  <c r="AL4959" i="2"/>
  <c r="AL4656" i="2"/>
  <c r="AL4635" i="2"/>
  <c r="AL4580" i="2"/>
  <c r="AL4574" i="2"/>
  <c r="AL4548" i="2"/>
  <c r="AL4449" i="2"/>
  <c r="AL4879" i="2"/>
  <c r="AL4848" i="2"/>
  <c r="AL4770" i="2"/>
  <c r="AL4659" i="2"/>
  <c r="AL4623" i="2"/>
  <c r="AL4619" i="2"/>
  <c r="AL4586" i="2"/>
  <c r="AL4650" i="2"/>
  <c r="AL4576" i="2"/>
  <c r="AL4572" i="2"/>
  <c r="AL4554" i="2"/>
  <c r="AL4529" i="2"/>
  <c r="AL4525" i="2"/>
  <c r="AL4498" i="2"/>
  <c r="AL4412" i="2"/>
  <c r="AL4404" i="2"/>
  <c r="AL4394" i="2"/>
  <c r="AL4375" i="2"/>
  <c r="AL4254" i="2"/>
  <c r="AL4543" i="2"/>
  <c r="AL4526" i="2"/>
  <c r="AL4370" i="2"/>
  <c r="AL4671" i="2"/>
  <c r="AL4565" i="2"/>
  <c r="AL4500" i="2"/>
  <c r="AL4382" i="2"/>
  <c r="AL4367" i="2"/>
  <c r="AL4236" i="2"/>
  <c r="AL4125" i="2"/>
  <c r="AL4552" i="2"/>
  <c r="AL4442" i="2"/>
  <c r="AL4427" i="2"/>
  <c r="AL4413" i="2"/>
  <c r="AL4288" i="2"/>
  <c r="AL4614" i="2"/>
  <c r="AL4566" i="2"/>
  <c r="AL4519" i="2"/>
  <c r="AL4240" i="2"/>
  <c r="AL4679" i="2"/>
  <c r="AL4592" i="2"/>
  <c r="AL4100" i="2"/>
  <c r="AL4486" i="2"/>
  <c r="AL4479" i="2"/>
  <c r="AL4440" i="2"/>
  <c r="AL4425" i="2"/>
  <c r="AL4414" i="2"/>
  <c r="AL4411" i="2"/>
  <c r="AL4381" i="2"/>
  <c r="AL4325" i="2"/>
  <c r="AL4290" i="2"/>
  <c r="AL4210" i="2"/>
  <c r="AL4178" i="2"/>
  <c r="AL4112" i="2"/>
  <c r="AL4246" i="2"/>
  <c r="AL4212" i="2"/>
  <c r="AL4079" i="2"/>
  <c r="AL4292" i="2"/>
  <c r="AL4276" i="2"/>
  <c r="AL4005" i="2"/>
  <c r="AL3939" i="2"/>
  <c r="AL3853" i="2"/>
  <c r="AL3762" i="2"/>
  <c r="AL3680" i="2"/>
  <c r="AL4358" i="2"/>
  <c r="AL4220" i="2"/>
  <c r="AL4066" i="2"/>
  <c r="AL3851" i="2"/>
  <c r="AL3333" i="2"/>
  <c r="AL4350" i="2"/>
  <c r="AL4070" i="2"/>
  <c r="AL4031" i="2"/>
  <c r="AL3834" i="2"/>
  <c r="AL3763" i="2"/>
  <c r="AL3729" i="2"/>
  <c r="AL3538" i="2"/>
  <c r="AL4248"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9" i="2" l="1"/>
  <c r="AL151" i="2"/>
  <c r="AL4953" i="2"/>
  <c r="AL4970" i="2"/>
  <c r="AL4931" i="2"/>
  <c r="AL4929" i="2"/>
  <c r="AL4971" i="2"/>
  <c r="AL4822" i="2"/>
  <c r="AL4765" i="2"/>
  <c r="AL4988" i="2"/>
  <c r="AL4975" i="2"/>
  <c r="AL4967" i="2"/>
  <c r="AL4870" i="2"/>
  <c r="AL4868" i="2"/>
  <c r="AL4831" i="2"/>
  <c r="AL4813" i="2"/>
  <c r="AL4774" i="2"/>
  <c r="AL4714" i="2"/>
  <c r="AL4676" i="2"/>
  <c r="AL4639" i="2"/>
  <c r="AL3950" i="2"/>
  <c r="AL4962" i="2"/>
  <c r="AL4957" i="2"/>
  <c r="AL4927" i="2"/>
  <c r="AL4923" i="2"/>
  <c r="AL4998" i="2"/>
  <c r="AL4977" i="2"/>
  <c r="AL4918" i="2"/>
  <c r="AL4900" i="2"/>
  <c r="AL4888" i="2"/>
  <c r="AL4859" i="2"/>
  <c r="AL4828" i="2"/>
  <c r="AL4824" i="2"/>
  <c r="AL4776" i="2"/>
  <c r="AL4767" i="2"/>
  <c r="AL4749" i="2"/>
  <c r="AL4546" i="2"/>
  <c r="AL4994" i="2"/>
  <c r="AL4983" i="2"/>
  <c r="AL4972" i="2"/>
  <c r="AL4938" i="2"/>
  <c r="AL4897" i="2"/>
  <c r="AL4885" i="2"/>
  <c r="AL4877" i="2"/>
  <c r="AL4874" i="2"/>
  <c r="AL4847" i="2"/>
  <c r="AL4784" i="2"/>
  <c r="AL4769" i="2"/>
  <c r="AL4742" i="2"/>
  <c r="AL4423" i="2"/>
  <c r="AL4208" i="2"/>
  <c r="AL3899" i="2"/>
  <c r="AL4964" i="2"/>
  <c r="AL4863" i="2"/>
  <c r="AL4841" i="2"/>
  <c r="AL4693" i="2"/>
  <c r="AL4682" i="2"/>
  <c r="AL4190" i="2"/>
  <c r="AL4968" i="2"/>
  <c r="AL4952" i="2"/>
  <c r="AL4946" i="2"/>
  <c r="AL4920" i="2"/>
  <c r="AL4876" i="2"/>
  <c r="AL4872" i="2"/>
  <c r="AL4867" i="2"/>
  <c r="AL4845" i="2"/>
  <c r="AL4737" i="2"/>
  <c r="AL4724" i="2"/>
  <c r="AL4722" i="2"/>
  <c r="AL4443" i="2"/>
  <c r="AL4985" i="2"/>
  <c r="AL4935" i="2"/>
  <c r="AL4906" i="2"/>
  <c r="AL4899" i="2"/>
  <c r="AL4773" i="2"/>
  <c r="AL4649" i="2"/>
  <c r="AL4965" i="2"/>
  <c r="AL4948" i="2"/>
  <c r="AL4915" i="2"/>
  <c r="AL4796" i="2"/>
  <c r="AL4775" i="2"/>
  <c r="AL4609" i="2"/>
  <c r="AL4488" i="2"/>
  <c r="AL4484" i="2"/>
  <c r="AL4986" i="2"/>
  <c r="AL4982" i="2"/>
  <c r="AL4974" i="2"/>
  <c r="AL4958" i="2"/>
  <c r="AL4849" i="2"/>
  <c r="AL4657" i="2"/>
  <c r="AL4621" i="2"/>
  <c r="AL4570" i="2"/>
  <c r="AL3716" i="2"/>
  <c r="AL4978" i="2"/>
  <c r="AL4976" i="2"/>
  <c r="AL4947" i="2"/>
  <c r="AL4934" i="2"/>
  <c r="AL4889" i="2"/>
  <c r="AL4878" i="2"/>
  <c r="AL4805" i="2"/>
  <c r="AL4750" i="2"/>
  <c r="AL4512" i="2"/>
  <c r="AL4960" i="2"/>
  <c r="AL4891" i="2"/>
  <c r="AL4880" i="2"/>
  <c r="AL4866" i="2"/>
  <c r="AL4851" i="2"/>
  <c r="AL4820" i="2"/>
  <c r="AL4793" i="2"/>
  <c r="AL4791" i="2"/>
  <c r="AL4741" i="2"/>
  <c r="AL4708" i="2"/>
  <c r="AL4590" i="2"/>
  <c r="AL4361" i="2"/>
  <c r="AL4527" i="2"/>
  <c r="AL4523" i="2"/>
  <c r="AL4510" i="2"/>
  <c r="AL4497" i="2"/>
  <c r="AL4471" i="2"/>
  <c r="AL4463" i="2"/>
  <c r="AL4419" i="2"/>
  <c r="AL4389" i="2"/>
  <c r="AL4345" i="2"/>
  <c r="AL4336" i="2"/>
  <c r="AL4323" i="2"/>
  <c r="AL4259" i="2"/>
  <c r="AL4222" i="2"/>
  <c r="AL4156" i="2"/>
  <c r="AL4131" i="2"/>
  <c r="AL4105" i="2"/>
  <c r="AL4046" i="2"/>
  <c r="AL3760" i="2"/>
  <c r="AL3517" i="2"/>
  <c r="AL3327" i="2"/>
  <c r="AL2663" i="2"/>
  <c r="AL4761" i="2"/>
  <c r="AL4718" i="2"/>
  <c r="AL4716" i="2"/>
  <c r="AL4686" i="2"/>
  <c r="AL4680" i="2"/>
  <c r="AL4612" i="2"/>
  <c r="AL4607" i="2"/>
  <c r="AL4603" i="2"/>
  <c r="AL4596" i="2"/>
  <c r="AL4578" i="2"/>
  <c r="AL4553" i="2"/>
  <c r="AL4550" i="2"/>
  <c r="AL4544" i="2"/>
  <c r="AL4499" i="2"/>
  <c r="AL4457" i="2"/>
  <c r="AL4450" i="2"/>
  <c r="AL4280" i="2"/>
  <c r="AL4250" i="2"/>
  <c r="AL3832" i="2"/>
  <c r="AL3552" i="2"/>
  <c r="AL3521" i="2"/>
  <c r="AL3468" i="2"/>
  <c r="AL3378" i="2"/>
  <c r="AL3316" i="2"/>
  <c r="AL3284" i="2"/>
  <c r="AL4391" i="2"/>
  <c r="AL4162" i="2"/>
  <c r="AL3532" i="2"/>
  <c r="AL3493" i="2"/>
  <c r="AL4728" i="2"/>
  <c r="AL4726" i="2"/>
  <c r="AL4703" i="2"/>
  <c r="AL4630" i="2"/>
  <c r="AL4620" i="2"/>
  <c r="AL4516" i="2"/>
  <c r="AL4513" i="2"/>
  <c r="AL4420" i="2"/>
  <c r="AL4416" i="2"/>
  <c r="AL4380" i="2"/>
  <c r="AL4318" i="2"/>
  <c r="AL4186" i="2"/>
  <c r="AL4075" i="2"/>
  <c r="AL3993" i="2"/>
  <c r="AL3927" i="2"/>
  <c r="AL3740" i="2"/>
  <c r="AL3497" i="2"/>
  <c r="AL3309" i="2"/>
  <c r="AL3307" i="2"/>
  <c r="AL4991" i="2"/>
  <c r="AL4954" i="2"/>
  <c r="AL4933" i="2"/>
  <c r="AL4926" i="2"/>
  <c r="AL4924" i="2"/>
  <c r="AL4886" i="2"/>
  <c r="AL4882" i="2"/>
  <c r="AL4853" i="2"/>
  <c r="AL4836" i="2"/>
  <c r="AL4823" i="2"/>
  <c r="AL4815" i="2"/>
  <c r="AL4800" i="2"/>
  <c r="AL4771" i="2"/>
  <c r="AL4760" i="2"/>
  <c r="AL4739" i="2"/>
  <c r="AL4717" i="2"/>
  <c r="AL4640" i="2"/>
  <c r="AL4594" i="2"/>
  <c r="AL4393" i="2"/>
  <c r="AL4301" i="2"/>
  <c r="AL3915" i="2"/>
  <c r="AL3872" i="2"/>
  <c r="AL3709" i="2"/>
  <c r="AL3234" i="2"/>
  <c r="AL2091" i="2"/>
  <c r="AL4709" i="2"/>
  <c r="AL4667" i="2"/>
  <c r="AL4561" i="2"/>
  <c r="AL4437" i="2"/>
  <c r="AL4418" i="2"/>
  <c r="AL3884" i="2"/>
  <c r="AL3825" i="2"/>
  <c r="AL3764" i="2"/>
  <c r="AL3695" i="2"/>
  <c r="AL3683" i="2"/>
  <c r="AL3465" i="2"/>
  <c r="AL4995" i="2"/>
  <c r="AL4987" i="2"/>
  <c r="AL4980" i="2"/>
  <c r="AL4966" i="2"/>
  <c r="AL4928" i="2"/>
  <c r="AL4907" i="2"/>
  <c r="AL4903" i="2"/>
  <c r="AL4896" i="2"/>
  <c r="AL4894" i="2"/>
  <c r="AL4861" i="2"/>
  <c r="AL4821" i="2"/>
  <c r="AL4764" i="2"/>
  <c r="AL4755" i="2"/>
  <c r="AL4732" i="2"/>
  <c r="AL4730" i="2"/>
  <c r="AL4683" i="2"/>
  <c r="AL4648" i="2"/>
  <c r="AL4600" i="2"/>
  <c r="AL4598" i="2"/>
  <c r="AL4583" i="2"/>
  <c r="AL4581" i="2"/>
  <c r="AL4524" i="2"/>
  <c r="AL4451" i="2"/>
  <c r="AL4371" i="2"/>
  <c r="AL4322" i="2"/>
  <c r="AL4228" i="2"/>
  <c r="AL4213" i="2"/>
  <c r="AL3953" i="2"/>
  <c r="AL3467" i="2"/>
  <c r="AL3443" i="2"/>
  <c r="AL2939" i="2"/>
  <c r="AL4943" i="2"/>
  <c r="AL4941" i="2"/>
  <c r="AL4937" i="2"/>
  <c r="AL4930" i="2"/>
  <c r="AL4917" i="2"/>
  <c r="AL4913" i="2"/>
  <c r="AL4911" i="2"/>
  <c r="AL4881" i="2"/>
  <c r="AL4865" i="2"/>
  <c r="AL4842" i="2"/>
  <c r="AL4838" i="2"/>
  <c r="AL4802" i="2"/>
  <c r="AL4787" i="2"/>
  <c r="AL4751" i="2"/>
  <c r="AL4611" i="2"/>
  <c r="AL4602" i="2"/>
  <c r="AL4591" i="2"/>
  <c r="AL4569" i="2"/>
  <c r="AL4538" i="2"/>
  <c r="AL4532" i="2"/>
  <c r="AL4517" i="2"/>
  <c r="AL4464" i="2"/>
  <c r="AL4453" i="2"/>
  <c r="AL4384" i="2"/>
  <c r="AL4320" i="2"/>
  <c r="AL4244" i="2"/>
  <c r="AL4117" i="2"/>
  <c r="AL3955" i="2"/>
  <c r="AL3892" i="2"/>
  <c r="AL3835" i="2"/>
  <c r="AL3827" i="2"/>
  <c r="AL3804" i="2"/>
  <c r="AL3555" i="2"/>
  <c r="AL3481" i="2"/>
  <c r="AL4810" i="2"/>
  <c r="AL4808" i="2"/>
  <c r="AL4768" i="2"/>
  <c r="AL4757" i="2"/>
  <c r="AL4725" i="2"/>
  <c r="AL4690" i="2"/>
  <c r="AL4687" i="2"/>
  <c r="AL4662" i="2"/>
  <c r="AL4642" i="2"/>
  <c r="AL4615" i="2"/>
  <c r="AL4593" i="2"/>
  <c r="AL4528" i="2"/>
  <c r="AL4502" i="2"/>
  <c r="AL4462" i="2"/>
  <c r="AL4415" i="2"/>
  <c r="AL4386" i="2"/>
  <c r="AL4072" i="2"/>
  <c r="AL3676" i="2"/>
  <c r="AL3363" i="2"/>
  <c r="AL4984" i="2"/>
  <c r="AL4963" i="2"/>
  <c r="AL4939" i="2"/>
  <c r="AL4919" i="2"/>
  <c r="AL4909" i="2"/>
  <c r="AL4902" i="2"/>
  <c r="AL4898" i="2"/>
  <c r="AL4892" i="2"/>
  <c r="AL4858" i="2"/>
  <c r="AL4852" i="2"/>
  <c r="AL4846" i="2"/>
  <c r="AL4825" i="2"/>
  <c r="AL4804" i="2"/>
  <c r="AL4740" i="2"/>
  <c r="AL4738" i="2"/>
  <c r="AL4736" i="2"/>
  <c r="AL4706" i="2"/>
  <c r="AL4685" i="2"/>
  <c r="AL4625" i="2"/>
  <c r="AL4608" i="2"/>
  <c r="AL4606" i="2"/>
  <c r="AL4595" i="2"/>
  <c r="AL4530" i="2"/>
  <c r="AL4521" i="2"/>
  <c r="AL4504" i="2"/>
  <c r="AL4474" i="2"/>
  <c r="AL4470" i="2"/>
  <c r="AL4397" i="2"/>
  <c r="AL4388" i="2"/>
  <c r="AL4289" i="2"/>
  <c r="AL4170" i="2"/>
  <c r="AL3928" i="2"/>
  <c r="AL3883" i="2"/>
  <c r="AL3774" i="2"/>
  <c r="AL3757" i="2"/>
  <c r="AL3741" i="2"/>
  <c r="AL3728" i="2"/>
  <c r="AL3630" i="2"/>
  <c r="AL3535" i="2"/>
  <c r="AL2653" i="2"/>
  <c r="AL4990" i="2"/>
  <c r="AL4969" i="2"/>
  <c r="AL4949" i="2"/>
  <c r="AL4887" i="2"/>
  <c r="AL4871" i="2"/>
  <c r="AL4864" i="2"/>
  <c r="AL4860" i="2"/>
  <c r="AL4854" i="2"/>
  <c r="AL4814" i="2"/>
  <c r="AL4812" i="2"/>
  <c r="AL4780" i="2"/>
  <c r="AL4778" i="2"/>
  <c r="AL4746" i="2"/>
  <c r="AL4672" i="2"/>
  <c r="AL4631" i="2"/>
  <c r="AL4610" i="2"/>
  <c r="AL4534" i="2"/>
  <c r="AL4495" i="2"/>
  <c r="AL4476" i="2"/>
  <c r="AL4417" i="2"/>
  <c r="AL4304" i="2"/>
  <c r="AL4195" i="2"/>
  <c r="AL4182" i="2"/>
  <c r="AL4147" i="2"/>
  <c r="AL4129" i="2"/>
  <c r="AL4081" i="2"/>
  <c r="AL3948" i="2"/>
  <c r="AL3743" i="2"/>
  <c r="AL3721" i="2"/>
  <c r="AL3611" i="2"/>
  <c r="AL3221" i="2"/>
  <c r="AL2542" i="2"/>
  <c r="AL2468" i="2"/>
  <c r="AL2357" i="2"/>
  <c r="AL1971" i="2"/>
  <c r="AL2689" i="2"/>
  <c r="AL2463" i="2"/>
  <c r="AL2406" i="2"/>
  <c r="AL2390" i="2"/>
  <c r="AL2224" i="2"/>
  <c r="AL2124" i="2"/>
  <c r="AL2875" i="2"/>
  <c r="AL2438" i="2"/>
  <c r="AL2384" i="2"/>
  <c r="AL2314" i="2"/>
  <c r="AL2277" i="2"/>
  <c r="AL2264" i="2"/>
  <c r="AL2159" i="2"/>
  <c r="AL3158" i="2"/>
  <c r="AL3018" i="2"/>
  <c r="AL2968" i="2"/>
  <c r="AL2923" i="2"/>
  <c r="AL2641" i="2"/>
  <c r="AL2606" i="2"/>
  <c r="AL2066" i="2"/>
  <c r="AL3254" i="2"/>
  <c r="AL2557" i="2"/>
  <c r="AL2545" i="2"/>
  <c r="AL2379" i="2"/>
  <c r="AL2184" i="2"/>
  <c r="AL2751" i="2"/>
  <c r="AL2414" i="2"/>
  <c r="AL2004" i="2"/>
  <c r="AL2722" i="2"/>
  <c r="AL2571" i="2"/>
  <c r="AL2416" i="2"/>
  <c r="AL2383" i="2"/>
  <c r="AL2263" i="2"/>
  <c r="AL3212" i="2"/>
  <c r="AL3099" i="2"/>
  <c r="AL2767" i="2"/>
  <c r="AL2690" i="2"/>
  <c r="AL2608" i="2"/>
  <c r="AL2432" i="2"/>
  <c r="AL2199" i="2"/>
  <c r="AL1509" i="2"/>
  <c r="AL2216" i="2"/>
  <c r="AL3300" i="2"/>
  <c r="AL2522" i="2"/>
  <c r="AL2151" i="2"/>
  <c r="AL2705" i="2"/>
  <c r="AL2679" i="2"/>
  <c r="AL2622" i="2"/>
  <c r="AL2605" i="2"/>
  <c r="AL2568" i="2"/>
  <c r="AL2482" i="2"/>
  <c r="AL2398" i="2"/>
  <c r="AL2320" i="2"/>
  <c r="AL2282" i="2"/>
  <c r="AL2175" i="2"/>
  <c r="AL2149" i="2"/>
  <c r="AL1789" i="2"/>
  <c r="AL5166" i="2"/>
  <c r="AL1356" i="2"/>
  <c r="AL1455" i="2"/>
  <c r="AL1135" i="2"/>
  <c r="AL25" i="2"/>
  <c r="AL13" i="2"/>
  <c r="AM13" i="2" s="1"/>
  <c r="AL1544" i="2"/>
  <c r="AL1649" i="2"/>
  <c r="AL967" i="2"/>
  <c r="AL925" i="2"/>
  <c r="AL1590" i="2"/>
  <c r="AL1411" i="2"/>
  <c r="AL297" i="2"/>
  <c r="AL292" i="2"/>
  <c r="AL179" i="2"/>
  <c r="AL168" i="2"/>
  <c r="AL2015" i="2"/>
  <c r="AL1883" i="2"/>
  <c r="AL1001" i="2"/>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M169" i="2" s="1"/>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<sst xmlns="http://schemas.openxmlformats.org/spreadsheetml/2006/main" count="573" uniqueCount="208">
  <si>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</si>
  <si>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</si>
  <si>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</si>
  <si>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</si>
  <si>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</si>
  <si>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</si>
  <si>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</si>
  <si>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</si>
  <si>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</si>
  <si>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</si>
  <si>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</si>
  <si>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</si>
  <si>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</si>
  <si>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</si>
  <si>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</si>
  <si>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</si>
  <si>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</si>
  <si>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</si>
  <si>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</si>
  <si>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</si>
  <si>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</si>
  <si>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</si>
  <si>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</si>
  <si>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</si>
  <si>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</si>
  <si>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</si>
  <si>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</si>
  <si>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</si>
  <si>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</si>
  <si>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</si>
  <si>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</si>
  <si>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</si>
  <si>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</si>
  <si>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</si>
  <si>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</si>
  <si>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</si>
  <si>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</si>
  <si>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</si>
  <si>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</si>
  <si>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</si>
  <si>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</si>
  <si>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</si>
  <si>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</si>
  <si>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</si>
  <si>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</si>
  <si>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</si>
  <si>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</si>
  <si>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</si>
  <si>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</si>
  <si>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</si>
  <si>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</si>
  <si>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</si>
  <si>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</si>
  <si>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</si>
  <si>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</si>
  <si>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</si>
  <si>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</si>
  <si>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</si>
  <si>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</si>
  <si>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</si>
  <si>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</si>
  <si>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</si>
  <si>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</si>
  <si>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</si>
  <si>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</si>
  <si>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</si>
  <si>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</si>
  <si>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</si>
  <si>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</si>
  <si>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</si>
  <si>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</si>
  <si>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</si>
  <si>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</si>
  <si>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</si>
  <si>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</si>
  <si>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</si>
  <si>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</si>
  <si>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</si>
  <si>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</si>
  <si>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</si>
  <si>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</si>
  <si>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</si>
  <si>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</si>
  <si>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</si>
  <si>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</si>
  <si>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</si>
  <si>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</si>
  <si>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</si>
  <si>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</si>
  <si>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</si>
  <si>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</si>
  <si>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</si>
  <si>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</si>
  <si>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Crow Creek</t>
  </si>
  <si>
    <t>CN Railway</t>
  </si>
  <si>
    <t>CN Rail</t>
  </si>
  <si>
    <t>Open Bottom Structure</t>
  </si>
  <si>
    <t>Bridge</t>
  </si>
  <si>
    <t>AI KP</t>
  </si>
  <si>
    <t>Private</t>
  </si>
  <si>
    <t>Closed Bottom Structure</t>
  </si>
  <si>
    <t>Round Culvert</t>
  </si>
  <si>
    <t>No</t>
  </si>
  <si>
    <t>Deep Fill</t>
  </si>
  <si>
    <t>Low</t>
  </si>
  <si>
    <t>Dry, small channel.</t>
  </si>
  <si>
    <t>Yes</t>
  </si>
  <si>
    <t>Dry, small stream.  Runs in ditch beside the road.</t>
  </si>
  <si>
    <t>Crow Creek Road</t>
  </si>
  <si>
    <t>Rose Lake Cuttoff Road</t>
  </si>
  <si>
    <t>Dry with dredged channel.  Double pipe (0.9 x 0.9).</t>
  </si>
  <si>
    <t>Tributary to Bulkley River</t>
  </si>
  <si>
    <t>Dry channel.  Two pipes (0.5 x 0.5).  FISS site downstream.</t>
  </si>
  <si>
    <t xml:space="preserve">Dry channel at time of survey.  Runs in ditch on low side of road.  Recently replaces.  </t>
  </si>
  <si>
    <t>Tributary to Maxan Creek</t>
  </si>
  <si>
    <t>Maxan Creek FSR</t>
  </si>
  <si>
    <t>Dry channel at time of survey. Very small stream.</t>
  </si>
  <si>
    <t>Medium</t>
  </si>
  <si>
    <t>Habitat value is low to medium.  Large beaver influenced lake upstream with two dams ~1.5m high at 10m and 30m upstream. Inlet blocked.  Water at inlet is level with the top of the culvert.  At 4m downstream is a 1m high beaver dam.</t>
  </si>
  <si>
    <t>Spur 30</t>
  </si>
  <si>
    <t>Other</t>
  </si>
  <si>
    <t>Ford</t>
  </si>
  <si>
    <t>Foxy Creek</t>
  </si>
  <si>
    <t>unnamed</t>
  </si>
  <si>
    <t>Bridge has collapsed and is impediment to upstream fish passage.  Habitat confirmation conducted.</t>
  </si>
  <si>
    <t>Johnny David Creek</t>
  </si>
  <si>
    <t>Robert Hatch Creek</t>
  </si>
  <si>
    <t>Ford. Area is extensively impacted by cattle trampling of banks.</t>
  </si>
  <si>
    <t>Ford.  Road deactivated and grown in.  Not ATV accessible beyond this point.</t>
  </si>
  <si>
    <t>Tributary to Gosnell Creek</t>
  </si>
  <si>
    <t>Crystal Creek FSR</t>
  </si>
  <si>
    <t>Oval Culvert</t>
  </si>
  <si>
    <t>Old Crystal Ck FSR.  Flat bottom structure.  Good flow with abundant gravels and LWD.  Nice stream.  Appears passable to all life stages. Culvert slope was estimated with clinometer so may be slightly off.  If slope was entered as 1% this crossing would rank as a "potential" barrier.</t>
  </si>
  <si>
    <t>Dry channel at time of survey.  Should this bridge be removed and girders salvaged?</t>
  </si>
  <si>
    <t>Bridge. Wood abutments and girders.</t>
  </si>
  <si>
    <t>Spur</t>
  </si>
  <si>
    <t>Road deactivated</t>
  </si>
  <si>
    <t>Fill depth not recorded to "best guess" recorded.</t>
  </si>
  <si>
    <t>Dry. Channel partially covered in moss.  Very likey flows for only short periods of the year.</t>
  </si>
  <si>
    <t>Dry at time of survey.  Channel poorly defined.  Likely flows for only short periods.</t>
  </si>
  <si>
    <t>Ford.  Quad bridge in place made from logs.</t>
  </si>
  <si>
    <t>Tributary to Morice River</t>
  </si>
  <si>
    <t>Morice West FSR</t>
  </si>
  <si>
    <t>Observed 60mm fish swimming into the outlet.  Nicely embedded. Inlet drop of large cobbles may be issue for smaller fish.</t>
  </si>
  <si>
    <t xml:space="preserve">Bridge. </t>
  </si>
  <si>
    <t>Dry. Small stream. DV point upstream in FISS.  May be flowing at point upstream.</t>
  </si>
  <si>
    <t>Bridge with only 0.7 clearance at outlet.</t>
  </si>
  <si>
    <t>Tagit Creek</t>
  </si>
  <si>
    <t>KP AI</t>
  </si>
  <si>
    <t>Check utm</t>
  </si>
  <si>
    <t>Deep Creek</t>
  </si>
  <si>
    <t>Tobaggan Creek</t>
  </si>
  <si>
    <t>Private Driveway</t>
  </si>
  <si>
    <t>John Brown</t>
  </si>
  <si>
    <t>Powerline</t>
  </si>
  <si>
    <t>Tributary to Toboggan Creek</t>
  </si>
  <si>
    <t>Owens Road</t>
  </si>
  <si>
    <t xml:space="preserve">Crossing does not exist on railway.  Surveyed above and below modelled crossing.  There is ephemeral channel upstream of the railway that is directed to go along the railway in ditch and quickly dissipates into shrubs and grasses.  </t>
  </si>
  <si>
    <t>Elliot Creek</t>
  </si>
  <si>
    <t>Tributary to Waterfall Creek</t>
  </si>
  <si>
    <t>DN</t>
  </si>
  <si>
    <t>Boulder Creek</t>
  </si>
  <si>
    <t>Unnamed</t>
  </si>
  <si>
    <t>No structure present.</t>
  </si>
  <si>
    <t>Cesford Creek</t>
  </si>
  <si>
    <t>Highway 118</t>
  </si>
  <si>
    <t>MoTi</t>
  </si>
  <si>
    <t>High</t>
  </si>
  <si>
    <t>Habitat confirmation conducted.  ~110mm fish observed in outlet pool.  Culvert slope surveyed with lazer level.</t>
  </si>
  <si>
    <t>Taman Creek</t>
  </si>
  <si>
    <t>Highway 16</t>
  </si>
  <si>
    <t>Habitat confirmation conducted.  Two pipes (2.5m x 2.5m).  Culvert slope measured with lazel level.  Fish observed.  Could not locate downstream crossing on railway.  Garmin backroads mapbook shows stream connecting with side channel of the Bulkley.</t>
  </si>
  <si>
    <t>ID is 2021090601 in the photos.</t>
  </si>
  <si>
    <t>Tributary to Thautil River</t>
  </si>
  <si>
    <t>Thautil FSR</t>
  </si>
  <si>
    <t>Tributary to Gabriel Creek</t>
  </si>
  <si>
    <t>Gabriel Creek</t>
  </si>
  <si>
    <t>AI VJ TP</t>
  </si>
  <si>
    <t>AI KP VJ TP</t>
  </si>
  <si>
    <t>Tributary to Own Creek</t>
  </si>
  <si>
    <t>Morice-Owen FSR</t>
  </si>
  <si>
    <t>Fenton Creek</t>
  </si>
  <si>
    <t>Morice-West FSR</t>
  </si>
  <si>
    <t>Tsiyuh Creek</t>
  </si>
  <si>
    <t>Morice River FSR</t>
  </si>
  <si>
    <t>Pipe Arch</t>
  </si>
  <si>
    <t>KP AI TP VJ</t>
  </si>
  <si>
    <t>Tributary to Lamprey Creek</t>
  </si>
  <si>
    <t xml:space="preserve">Habitat confirmation conducted.  Fish observed (150mm).  </t>
  </si>
  <si>
    <t>Watson Creek</t>
  </si>
  <si>
    <t>Montgomery Road</t>
  </si>
  <si>
    <t>Thompson Creek</t>
  </si>
  <si>
    <t>Private Road</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</si>
  <si>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t>
  </si>
  <si>
    <t>LRH DM</t>
  </si>
  <si>
    <t>Morice R FSR</t>
  </si>
  <si>
    <t>Morice Nado</t>
  </si>
  <si>
    <t>spur Morice Nado</t>
  </si>
  <si>
    <t>Bill Nye spur</t>
  </si>
  <si>
    <t>Bill Nye</t>
  </si>
  <si>
    <t>spur (overgrown)</t>
  </si>
  <si>
    <t>Morice FSR</t>
  </si>
  <si>
    <t>Tributary to Nanika River</t>
  </si>
  <si>
    <t>McBride Creek</t>
  </si>
  <si>
    <t>KP</t>
  </si>
  <si>
    <t>Peacock Creek</t>
  </si>
  <si>
    <t>Tributary to Thaulit River</t>
  </si>
  <si>
    <t>Chisholm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</si>
</sst>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7" activePane="bottomLeft" state="frozen"/>
      <selection pane="bottomLeft" activeCell="I23" sqref="I23"/>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44438</v>
      </c>
      <c r="B5" s="112"/>
      <c r="C5" s="116">
        <v>1805532</v>
      </c>
      <c r="D5" s="116" t="s">
        <v>92</v>
      </c>
      <c r="E5" s="77">
        <v>9</v>
      </c>
      <c r="F5" s="53">
        <v>685314.05808093795</v>
      </c>
      <c r="G5" s="51">
        <v>6030316.9592297003</v>
      </c>
      <c r="H5" s="11" t="s">
        <v>93</v>
      </c>
      <c r="I5" s="11" t="s">
        <v>94</v>
      </c>
      <c r="J5" s="104"/>
      <c r="K5" s="11" t="s">
        <v>95</v>
      </c>
      <c r="L5" s="116" t="s">
        <v>96</v>
      </c>
      <c r="M5" s="116" t="s">
        <v>97</v>
      </c>
      <c r="N5" s="109">
        <v>13.5</v>
      </c>
      <c r="O5" s="109">
        <v>5.5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97</v>
      </c>
    </row>
    <row r="6" spans="1:42" s="13" customFormat="1" x14ac:dyDescent="0.25">
      <c r="A6" s="117">
        <v>44438</v>
      </c>
      <c r="B6" s="112"/>
      <c r="C6" s="116">
        <v>1801185</v>
      </c>
      <c r="D6" s="116" t="s">
        <v>98</v>
      </c>
      <c r="E6" s="77">
        <v>9</v>
      </c>
      <c r="F6" s="78">
        <v>684767.03761137906</v>
      </c>
      <c r="G6" s="79">
        <v>6029866.9739828296</v>
      </c>
      <c r="H6" s="116" t="s">
        <v>93</v>
      </c>
      <c r="I6" s="77" t="s">
        <v>99</v>
      </c>
      <c r="J6" s="104"/>
      <c r="K6" s="116" t="s">
        <v>99</v>
      </c>
      <c r="L6" s="116" t="s">
        <v>96</v>
      </c>
      <c r="M6" s="116" t="s">
        <v>97</v>
      </c>
      <c r="N6" s="109">
        <v>8</v>
      </c>
      <c r="O6" s="109">
        <v>4</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97</v>
      </c>
    </row>
    <row r="7" spans="1:42" s="13" customFormat="1" ht="30" x14ac:dyDescent="0.25">
      <c r="A7" s="117">
        <v>44438</v>
      </c>
      <c r="B7" s="112"/>
      <c r="C7" s="116">
        <v>1800360</v>
      </c>
      <c r="D7" s="116" t="s">
        <v>98</v>
      </c>
      <c r="E7" s="77">
        <v>9</v>
      </c>
      <c r="F7" s="78">
        <v>685353.27330658503</v>
      </c>
      <c r="G7" s="79">
        <v>6030520.3540688502</v>
      </c>
      <c r="H7" s="116" t="s">
        <v>111</v>
      </c>
      <c r="I7" s="77" t="s">
        <v>109</v>
      </c>
      <c r="J7" s="104"/>
      <c r="K7" s="116"/>
      <c r="L7" s="116" t="s">
        <v>100</v>
      </c>
      <c r="M7" s="116" t="s">
        <v>101</v>
      </c>
      <c r="N7" s="114">
        <v>0.6</v>
      </c>
      <c r="O7" s="114">
        <v>14.5</v>
      </c>
      <c r="P7" s="116" t="s">
        <v>102</v>
      </c>
      <c r="Q7" s="121"/>
      <c r="R7" s="116" t="s">
        <v>102</v>
      </c>
      <c r="S7" s="116" t="s">
        <v>102</v>
      </c>
      <c r="T7" s="121"/>
      <c r="U7" s="116">
        <v>1</v>
      </c>
      <c r="V7" s="116">
        <v>0.1</v>
      </c>
      <c r="W7" s="116">
        <v>0.1</v>
      </c>
      <c r="X7" s="116" t="s">
        <v>102</v>
      </c>
      <c r="Y7" s="116">
        <v>3.5</v>
      </c>
      <c r="Z7" s="116">
        <v>1.5</v>
      </c>
      <c r="AA7" s="116">
        <v>7</v>
      </c>
      <c r="AB7" s="115" t="s">
        <v>102</v>
      </c>
      <c r="AC7" s="115" t="s">
        <v>102</v>
      </c>
      <c r="AD7" s="116" t="s">
        <v>103</v>
      </c>
      <c r="AE7" s="116" t="s">
        <v>104</v>
      </c>
      <c r="AF7" s="22">
        <f t="shared" si="0"/>
        <v>2.5</v>
      </c>
      <c r="AG7" s="15">
        <f t="shared" si="1"/>
        <v>0</v>
      </c>
      <c r="AH7" s="7">
        <f t="shared" si="2"/>
        <v>10</v>
      </c>
      <c r="AI7" s="7">
        <f t="shared" si="3"/>
        <v>0</v>
      </c>
      <c r="AJ7" s="7">
        <f t="shared" si="4"/>
        <v>10</v>
      </c>
      <c r="AK7" s="12">
        <f t="shared" si="5"/>
        <v>6</v>
      </c>
      <c r="AL7" s="14">
        <f t="shared" si="6"/>
        <v>26</v>
      </c>
      <c r="AM7" s="16" t="str">
        <f t="shared" si="7"/>
        <v>Barrier</v>
      </c>
      <c r="AN7" s="116"/>
      <c r="AO7" s="116"/>
      <c r="AP7" s="116" t="s">
        <v>105</v>
      </c>
    </row>
    <row r="8" spans="1:42" s="13" customFormat="1" ht="30" x14ac:dyDescent="0.25">
      <c r="A8" s="117">
        <v>44438</v>
      </c>
      <c r="B8" s="110"/>
      <c r="C8" s="116">
        <v>1800180</v>
      </c>
      <c r="D8" s="116" t="s">
        <v>98</v>
      </c>
      <c r="E8" s="77">
        <v>9</v>
      </c>
      <c r="F8" s="78">
        <v>683420.65263197804</v>
      </c>
      <c r="G8" s="79">
        <v>6032258.1451603901</v>
      </c>
      <c r="H8" s="116" t="s">
        <v>111</v>
      </c>
      <c r="I8" s="77" t="s">
        <v>109</v>
      </c>
      <c r="J8" s="105"/>
      <c r="K8" s="108"/>
      <c r="L8" s="116" t="s">
        <v>100</v>
      </c>
      <c r="M8" s="116" t="s">
        <v>101</v>
      </c>
      <c r="N8" s="114">
        <v>0.9</v>
      </c>
      <c r="O8" s="114">
        <v>23</v>
      </c>
      <c r="P8" s="116" t="s">
        <v>102</v>
      </c>
      <c r="Q8" s="121"/>
      <c r="R8" s="116" t="s">
        <v>102</v>
      </c>
      <c r="S8" s="116" t="s">
        <v>102</v>
      </c>
      <c r="T8" s="121"/>
      <c r="U8" s="116">
        <v>1</v>
      </c>
      <c r="V8" s="116">
        <v>0</v>
      </c>
      <c r="W8" s="116">
        <v>0</v>
      </c>
      <c r="X8" s="116" t="s">
        <v>106</v>
      </c>
      <c r="Y8" s="116">
        <v>3.5</v>
      </c>
      <c r="Z8" s="116">
        <v>1.5</v>
      </c>
      <c r="AA8" s="116">
        <v>12</v>
      </c>
      <c r="AB8" s="115" t="s">
        <v>102</v>
      </c>
      <c r="AC8" s="115" t="s">
        <v>102</v>
      </c>
      <c r="AD8" s="116" t="s">
        <v>103</v>
      </c>
      <c r="AE8" s="116" t="s">
        <v>104</v>
      </c>
      <c r="AF8" s="22">
        <f t="shared" si="0"/>
        <v>1.6666666666666665</v>
      </c>
      <c r="AG8" s="15">
        <f t="shared" si="1"/>
        <v>3</v>
      </c>
      <c r="AH8" s="7">
        <f t="shared" si="2"/>
        <v>10</v>
      </c>
      <c r="AI8" s="7">
        <f t="shared" si="3"/>
        <v>0</v>
      </c>
      <c r="AJ8" s="7">
        <f t="shared" si="4"/>
        <v>10</v>
      </c>
      <c r="AK8" s="12">
        <f t="shared" si="5"/>
        <v>6</v>
      </c>
      <c r="AL8" s="14">
        <f t="shared" si="6"/>
        <v>29</v>
      </c>
      <c r="AM8" s="16" t="str">
        <f t="shared" si="7"/>
        <v>Barrier</v>
      </c>
      <c r="AN8" s="116"/>
      <c r="AO8" s="116"/>
      <c r="AP8" s="116" t="s">
        <v>107</v>
      </c>
    </row>
    <row r="9" spans="1:42" x14ac:dyDescent="0.25">
      <c r="A9" s="117">
        <v>44438</v>
      </c>
      <c r="B9" s="111"/>
      <c r="C9" s="116">
        <v>1800372</v>
      </c>
      <c r="D9" s="116" t="s">
        <v>92</v>
      </c>
      <c r="E9" s="77">
        <v>9</v>
      </c>
      <c r="F9" s="78">
        <v>681279</v>
      </c>
      <c r="G9" s="79">
        <v>6032345</v>
      </c>
      <c r="H9" s="103" t="s">
        <v>111</v>
      </c>
      <c r="I9" s="77" t="s">
        <v>108</v>
      </c>
      <c r="J9" s="104"/>
      <c r="K9" s="108"/>
      <c r="L9" s="116" t="s">
        <v>100</v>
      </c>
      <c r="M9" s="115" t="s">
        <v>101</v>
      </c>
      <c r="N9" s="113">
        <v>0.9</v>
      </c>
      <c r="O9" s="113">
        <v>15</v>
      </c>
      <c r="P9" s="116" t="s">
        <v>102</v>
      </c>
      <c r="Q9" s="121"/>
      <c r="R9" s="116" t="s">
        <v>102</v>
      </c>
      <c r="S9" s="116" t="s">
        <v>102</v>
      </c>
      <c r="T9" s="121"/>
      <c r="U9" s="116">
        <v>1.5</v>
      </c>
      <c r="V9" s="116">
        <v>0</v>
      </c>
      <c r="W9" s="116">
        <v>0</v>
      </c>
      <c r="X9" s="116" t="s">
        <v>102</v>
      </c>
      <c r="Y9" s="116">
        <v>8</v>
      </c>
      <c r="Z9" s="116">
        <v>2</v>
      </c>
      <c r="AA9" s="116">
        <v>4</v>
      </c>
      <c r="AB9" s="115" t="s">
        <v>102</v>
      </c>
      <c r="AC9" s="115" t="s">
        <v>102</v>
      </c>
      <c r="AD9" s="116" t="s">
        <v>103</v>
      </c>
      <c r="AE9" s="116" t="s">
        <v>104</v>
      </c>
      <c r="AF9" s="22">
        <f t="shared" si="0"/>
        <v>2.2222222222222223</v>
      </c>
      <c r="AG9" s="15">
        <f t="shared" si="1"/>
        <v>3</v>
      </c>
      <c r="AH9" s="7">
        <f t="shared" si="2"/>
        <v>10</v>
      </c>
      <c r="AI9" s="7">
        <f t="shared" si="3"/>
        <v>0</v>
      </c>
      <c r="AJ9" s="7">
        <f t="shared" si="4"/>
        <v>10</v>
      </c>
      <c r="AK9" s="12">
        <f t="shared" si="5"/>
        <v>6</v>
      </c>
      <c r="AL9" s="14">
        <f t="shared" si="6"/>
        <v>29</v>
      </c>
      <c r="AM9" s="16" t="str">
        <f t="shared" si="7"/>
        <v>Barrier</v>
      </c>
      <c r="AN9" s="116"/>
      <c r="AO9" s="116"/>
      <c r="AP9" s="116" t="s">
        <v>110</v>
      </c>
    </row>
    <row r="10" spans="1:42" x14ac:dyDescent="0.25">
      <c r="A10" s="117">
        <v>44438</v>
      </c>
      <c r="B10" s="111"/>
      <c r="C10" s="116">
        <v>1803682</v>
      </c>
      <c r="D10" s="116" t="s">
        <v>98</v>
      </c>
      <c r="E10" s="77">
        <v>9</v>
      </c>
      <c r="F10" s="78">
        <v>682026.13412471395</v>
      </c>
      <c r="G10" s="79">
        <v>6028531.0330157997</v>
      </c>
      <c r="H10" s="103" t="s">
        <v>93</v>
      </c>
      <c r="I10" s="77" t="s">
        <v>115</v>
      </c>
      <c r="J10" s="104"/>
      <c r="K10" s="116"/>
      <c r="L10" s="116" t="s">
        <v>96</v>
      </c>
      <c r="M10" s="116" t="s">
        <v>97</v>
      </c>
      <c r="N10" s="114">
        <v>10</v>
      </c>
      <c r="O10" s="114">
        <v>5</v>
      </c>
      <c r="P10" s="121"/>
      <c r="Q10" s="122"/>
      <c r="R10" s="121"/>
      <c r="S10" s="121"/>
      <c r="T10" s="122"/>
      <c r="U10" s="122"/>
      <c r="V10" s="121"/>
      <c r="W10" s="122"/>
      <c r="X10" s="121"/>
      <c r="Y10" s="122"/>
      <c r="Z10" s="122"/>
      <c r="AA10" s="121"/>
      <c r="AB10" s="116"/>
      <c r="AC10" s="116"/>
      <c r="AD10" s="121"/>
      <c r="AE10" s="121"/>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2"/>
      <c r="AP10" s="116" t="s">
        <v>97</v>
      </c>
    </row>
    <row r="11" spans="1:42" x14ac:dyDescent="0.25">
      <c r="A11" s="117">
        <v>44438</v>
      </c>
      <c r="B11" s="111"/>
      <c r="C11" s="103">
        <v>1803706</v>
      </c>
      <c r="D11" s="115" t="s">
        <v>98</v>
      </c>
      <c r="E11" s="115">
        <v>9</v>
      </c>
      <c r="F11" s="107">
        <v>683683.88684027095</v>
      </c>
      <c r="G11" s="106">
        <v>6024930.0505187204</v>
      </c>
      <c r="H11" s="103" t="s">
        <v>114</v>
      </c>
      <c r="I11" s="77" t="s">
        <v>115</v>
      </c>
      <c r="J11" s="104"/>
      <c r="K11" s="115"/>
      <c r="L11" s="116" t="s">
        <v>100</v>
      </c>
      <c r="M11" s="116" t="s">
        <v>101</v>
      </c>
      <c r="N11" s="113">
        <v>0.5</v>
      </c>
      <c r="O11" s="113">
        <v>30</v>
      </c>
      <c r="P11" s="115" t="s">
        <v>102</v>
      </c>
      <c r="Q11" s="124"/>
      <c r="R11" s="115" t="s">
        <v>102</v>
      </c>
      <c r="S11" s="115" t="s">
        <v>102</v>
      </c>
      <c r="T11" s="124"/>
      <c r="U11" s="113">
        <v>3</v>
      </c>
      <c r="V11" s="115">
        <v>0.6</v>
      </c>
      <c r="W11" s="113">
        <v>0.3</v>
      </c>
      <c r="X11" s="115" t="s">
        <v>102</v>
      </c>
      <c r="Y11" s="113">
        <v>3.5</v>
      </c>
      <c r="Z11" s="113">
        <v>1.2</v>
      </c>
      <c r="AA11" s="115">
        <v>3</v>
      </c>
      <c r="AB11" s="115" t="s">
        <v>102</v>
      </c>
      <c r="AC11" s="115" t="s">
        <v>102</v>
      </c>
      <c r="AD11" s="115" t="s">
        <v>103</v>
      </c>
      <c r="AE11" s="115" t="s">
        <v>104</v>
      </c>
      <c r="AF11" s="22">
        <f t="shared" si="0"/>
        <v>2.4</v>
      </c>
      <c r="AG11" s="15">
        <f t="shared" si="1"/>
        <v>6</v>
      </c>
      <c r="AH11" s="7">
        <f t="shared" si="2"/>
        <v>10</v>
      </c>
      <c r="AI11" s="7">
        <f t="shared" si="3"/>
        <v>10</v>
      </c>
      <c r="AJ11" s="7">
        <f>IF(Y11&lt;1,0,IF(AND(Y11&gt;=1,Y11&lt;3),5,IF(Y11&gt;=3,10,0)))</f>
        <v>10</v>
      </c>
      <c r="AK11" s="12">
        <f t="shared" si="5"/>
        <v>6</v>
      </c>
      <c r="AL11" s="14">
        <f t="shared" si="6"/>
        <v>42</v>
      </c>
      <c r="AM11" s="16" t="str">
        <f t="shared" si="7"/>
        <v>Barrier</v>
      </c>
      <c r="AN11" s="115"/>
      <c r="AO11" s="116"/>
      <c r="AP11" s="116" t="s">
        <v>112</v>
      </c>
    </row>
    <row r="12" spans="1:42" ht="30" x14ac:dyDescent="0.25">
      <c r="A12" s="82">
        <v>44438</v>
      </c>
      <c r="B12" s="73"/>
      <c r="C12" s="25">
        <v>1802611</v>
      </c>
      <c r="D12" s="25" t="s">
        <v>98</v>
      </c>
      <c r="E12" s="77">
        <v>9</v>
      </c>
      <c r="F12" s="78">
        <v>685706</v>
      </c>
      <c r="G12" s="79">
        <v>6023769</v>
      </c>
      <c r="H12" s="77" t="s">
        <v>114</v>
      </c>
      <c r="I12" s="77" t="s">
        <v>115</v>
      </c>
      <c r="J12" s="42"/>
      <c r="K12" s="77"/>
      <c r="L12" s="25" t="s">
        <v>100</v>
      </c>
      <c r="M12" s="25" t="s">
        <v>101</v>
      </c>
      <c r="N12" s="114">
        <v>1.2</v>
      </c>
      <c r="O12" s="114">
        <v>23</v>
      </c>
      <c r="P12" s="116" t="s">
        <v>102</v>
      </c>
      <c r="Q12" s="121"/>
      <c r="R12" s="116" t="s">
        <v>102</v>
      </c>
      <c r="S12" s="116" t="s">
        <v>102</v>
      </c>
      <c r="T12" s="122"/>
      <c r="U12" s="114">
        <v>1</v>
      </c>
      <c r="V12" s="116">
        <v>0</v>
      </c>
      <c r="W12" s="114">
        <v>0</v>
      </c>
      <c r="X12" s="116" t="s">
        <v>102</v>
      </c>
      <c r="Y12" s="114">
        <v>1</v>
      </c>
      <c r="Z12" s="114">
        <v>1.3</v>
      </c>
      <c r="AA12" s="116">
        <v>2.5</v>
      </c>
      <c r="AB12" s="25" t="s">
        <v>102</v>
      </c>
      <c r="AC12" s="25" t="s">
        <v>102</v>
      </c>
      <c r="AD12" s="116" t="s">
        <v>103</v>
      </c>
      <c r="AE12" s="116" t="s">
        <v>104</v>
      </c>
      <c r="AF12" s="22">
        <f t="shared" ref="AF12:AF72" si="8">IF(ISBLANK(Z12), 0, IF(ISBLANK(N12) &lt; 0, 0,Z12 / N12))</f>
        <v>1.0833333333333335</v>
      </c>
      <c r="AG12" s="15">
        <f t="shared" si="1"/>
        <v>3</v>
      </c>
      <c r="AH12" s="7">
        <f t="shared" si="2"/>
        <v>10</v>
      </c>
      <c r="AI12" s="7">
        <f t="shared" si="3"/>
        <v>0</v>
      </c>
      <c r="AJ12" s="7">
        <f t="shared" si="4"/>
        <v>5</v>
      </c>
      <c r="AK12" s="12">
        <f t="shared" si="5"/>
        <v>3</v>
      </c>
      <c r="AL12" s="14">
        <f t="shared" ref="AL12:AL70" si="9">AG12 + AH12 + AI12 + AJ12 + AK12</f>
        <v>21</v>
      </c>
      <c r="AM12" s="16" t="str">
        <f t="shared" si="7"/>
        <v>Barrier</v>
      </c>
      <c r="AN12" s="116"/>
      <c r="AO12" s="114"/>
      <c r="AP12" s="25" t="s">
        <v>113</v>
      </c>
    </row>
    <row r="13" spans="1:42" ht="30" x14ac:dyDescent="0.25">
      <c r="A13" s="82">
        <v>44438</v>
      </c>
      <c r="B13" s="76"/>
      <c r="C13" s="25">
        <v>1803697</v>
      </c>
      <c r="D13" s="25" t="s">
        <v>98</v>
      </c>
      <c r="E13" s="77">
        <v>9</v>
      </c>
      <c r="F13" s="78">
        <v>687646.94092958595</v>
      </c>
      <c r="G13" s="79">
        <v>6021923.0548803098</v>
      </c>
      <c r="H13" s="77" t="s">
        <v>114</v>
      </c>
      <c r="I13" s="77" t="s">
        <v>115</v>
      </c>
      <c r="J13" s="80"/>
      <c r="K13" s="77"/>
      <c r="L13" s="25" t="s">
        <v>100</v>
      </c>
      <c r="M13" s="25" t="s">
        <v>101</v>
      </c>
      <c r="N13" s="114">
        <v>0.3</v>
      </c>
      <c r="O13" s="114">
        <v>15</v>
      </c>
      <c r="P13" s="116" t="s">
        <v>102</v>
      </c>
      <c r="Q13" s="121"/>
      <c r="R13" s="116" t="s">
        <v>102</v>
      </c>
      <c r="S13" s="116" t="s">
        <v>102</v>
      </c>
      <c r="T13" s="121"/>
      <c r="U13" s="114">
        <v>1</v>
      </c>
      <c r="V13" s="116">
        <v>0.1</v>
      </c>
      <c r="W13" s="114">
        <v>0</v>
      </c>
      <c r="X13" s="116" t="s">
        <v>102</v>
      </c>
      <c r="Y13" s="114">
        <v>1.5</v>
      </c>
      <c r="Z13" s="114">
        <v>1</v>
      </c>
      <c r="AA13" s="116">
        <v>2</v>
      </c>
      <c r="AB13" s="25" t="s">
        <v>102</v>
      </c>
      <c r="AC13" s="25" t="s">
        <v>102</v>
      </c>
      <c r="AD13" s="116" t="s">
        <v>103</v>
      </c>
      <c r="AE13" s="116" t="s">
        <v>104</v>
      </c>
      <c r="AF13" s="22">
        <f t="shared" si="8"/>
        <v>3.3333333333333335</v>
      </c>
      <c r="AG13" s="15">
        <f t="shared" si="1"/>
        <v>3</v>
      </c>
      <c r="AH13" s="7">
        <f t="shared" si="2"/>
        <v>10</v>
      </c>
      <c r="AI13" s="7">
        <f t="shared" si="3"/>
        <v>0</v>
      </c>
      <c r="AJ13" s="7">
        <f t="shared" si="4"/>
        <v>5</v>
      </c>
      <c r="AK13" s="12">
        <f t="shared" si="5"/>
        <v>6</v>
      </c>
      <c r="AL13" s="14">
        <f t="shared" si="9"/>
        <v>24</v>
      </c>
      <c r="AM13" s="16" t="str">
        <f t="shared" si="7"/>
        <v>Barrier</v>
      </c>
      <c r="AN13" s="116"/>
      <c r="AO13" s="114"/>
      <c r="AP13" s="25" t="s">
        <v>116</v>
      </c>
    </row>
    <row r="14" spans="1:42" ht="30" x14ac:dyDescent="0.25">
      <c r="A14" s="82">
        <v>44438</v>
      </c>
      <c r="B14" s="76"/>
      <c r="C14" s="25">
        <v>2021083002</v>
      </c>
      <c r="D14" s="25" t="s">
        <v>98</v>
      </c>
      <c r="E14" s="77">
        <v>9</v>
      </c>
      <c r="F14" s="78">
        <v>687557</v>
      </c>
      <c r="G14" s="79">
        <v>6020572</v>
      </c>
      <c r="H14" s="77" t="s">
        <v>114</v>
      </c>
      <c r="I14" s="77" t="s">
        <v>115</v>
      </c>
      <c r="J14" s="80"/>
      <c r="K14" s="77"/>
      <c r="L14" s="25" t="s">
        <v>100</v>
      </c>
      <c r="M14" s="25" t="s">
        <v>101</v>
      </c>
      <c r="N14" s="114">
        <v>0.6</v>
      </c>
      <c r="O14" s="114">
        <v>16</v>
      </c>
      <c r="P14" s="116" t="s">
        <v>102</v>
      </c>
      <c r="Q14" s="121"/>
      <c r="R14" s="116" t="s">
        <v>102</v>
      </c>
      <c r="S14" s="116" t="s">
        <v>102</v>
      </c>
      <c r="T14" s="121"/>
      <c r="U14" s="114">
        <v>2.5</v>
      </c>
      <c r="V14" s="116">
        <v>0</v>
      </c>
      <c r="W14" s="114">
        <v>0.65</v>
      </c>
      <c r="X14" s="116" t="s">
        <v>106</v>
      </c>
      <c r="Y14" s="114">
        <v>3</v>
      </c>
      <c r="Z14" s="114">
        <v>0.9</v>
      </c>
      <c r="AA14" s="116">
        <v>4</v>
      </c>
      <c r="AB14" s="25" t="s">
        <v>106</v>
      </c>
      <c r="AC14" s="25" t="s">
        <v>102</v>
      </c>
      <c r="AD14" s="116" t="s">
        <v>103</v>
      </c>
      <c r="AE14" s="116" t="s">
        <v>117</v>
      </c>
      <c r="AF14" s="22">
        <f t="shared" si="8"/>
        <v>1.5</v>
      </c>
      <c r="AG14" s="15">
        <f t="shared" si="1"/>
        <v>3</v>
      </c>
      <c r="AH14" s="7">
        <f t="shared" si="2"/>
        <v>10</v>
      </c>
      <c r="AI14" s="7">
        <f t="shared" si="3"/>
        <v>0</v>
      </c>
      <c r="AJ14" s="7">
        <f t="shared" si="4"/>
        <v>10</v>
      </c>
      <c r="AK14" s="12">
        <f t="shared" si="5"/>
        <v>6</v>
      </c>
      <c r="AL14" s="14">
        <f t="shared" si="9"/>
        <v>29</v>
      </c>
      <c r="AM14" s="16" t="str">
        <f t="shared" si="7"/>
        <v>Barrier</v>
      </c>
      <c r="AN14" s="116"/>
      <c r="AO14" s="114"/>
      <c r="AP14" s="25" t="s">
        <v>118</v>
      </c>
    </row>
    <row r="15" spans="1:42" ht="30" x14ac:dyDescent="0.25">
      <c r="A15" s="82">
        <v>44438</v>
      </c>
      <c r="B15" s="76"/>
      <c r="C15" s="25">
        <v>1804694</v>
      </c>
      <c r="D15" s="25" t="s">
        <v>98</v>
      </c>
      <c r="E15" s="77">
        <v>9</v>
      </c>
      <c r="F15" s="78">
        <v>688604.00005812105</v>
      </c>
      <c r="G15" s="79">
        <v>6019911.0531726899</v>
      </c>
      <c r="H15" s="77" t="s">
        <v>114</v>
      </c>
      <c r="I15" s="77" t="s">
        <v>119</v>
      </c>
      <c r="J15" s="80"/>
      <c r="K15" s="77"/>
      <c r="L15" s="25" t="s">
        <v>96</v>
      </c>
      <c r="M15" s="25" t="s">
        <v>97</v>
      </c>
      <c r="N15" s="114">
        <v>12</v>
      </c>
      <c r="O15" s="114">
        <v>5</v>
      </c>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25" t="s">
        <v>97</v>
      </c>
    </row>
    <row r="16" spans="1:42" x14ac:dyDescent="0.25">
      <c r="A16" s="82">
        <v>44438</v>
      </c>
      <c r="B16" s="76"/>
      <c r="C16" s="25">
        <v>2021083003</v>
      </c>
      <c r="D16" s="25" t="s">
        <v>92</v>
      </c>
      <c r="E16" s="77">
        <v>9</v>
      </c>
      <c r="F16" s="78">
        <v>686933</v>
      </c>
      <c r="G16" s="79">
        <v>6023054</v>
      </c>
      <c r="H16" s="77" t="s">
        <v>122</v>
      </c>
      <c r="I16" s="77" t="s">
        <v>123</v>
      </c>
      <c r="J16" s="80"/>
      <c r="K16" s="77"/>
      <c r="L16" s="25" t="s">
        <v>120</v>
      </c>
      <c r="M16" s="25" t="s">
        <v>121</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121</v>
      </c>
    </row>
    <row r="17" spans="1:42" x14ac:dyDescent="0.25">
      <c r="A17" s="82">
        <v>44439</v>
      </c>
      <c r="B17" s="76"/>
      <c r="C17" s="25">
        <v>1802106</v>
      </c>
      <c r="D17" s="25" t="s">
        <v>92</v>
      </c>
      <c r="E17" s="77">
        <v>9</v>
      </c>
      <c r="F17" s="78">
        <v>670963.04583718895</v>
      </c>
      <c r="G17" s="79">
        <v>6046221.1978087602</v>
      </c>
      <c r="H17" s="77" t="s">
        <v>126</v>
      </c>
      <c r="I17" s="77" t="s">
        <v>99</v>
      </c>
      <c r="J17" s="80"/>
      <c r="K17" s="77"/>
      <c r="L17" s="25" t="s">
        <v>96</v>
      </c>
      <c r="M17" s="25" t="s">
        <v>97</v>
      </c>
      <c r="N17" s="114">
        <v>12</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124</v>
      </c>
    </row>
    <row r="18" spans="1:42" x14ac:dyDescent="0.25">
      <c r="A18" s="82">
        <v>44439</v>
      </c>
      <c r="B18" s="76"/>
      <c r="C18" s="25">
        <v>1802088</v>
      </c>
      <c r="D18" s="25" t="s">
        <v>92</v>
      </c>
      <c r="E18" s="77">
        <v>9</v>
      </c>
      <c r="F18" s="78">
        <v>669947.04071961495</v>
      </c>
      <c r="G18" s="79">
        <v>6047216.9999301601</v>
      </c>
      <c r="H18" s="77" t="s">
        <v>126</v>
      </c>
      <c r="I18" s="77" t="s">
        <v>99</v>
      </c>
      <c r="J18" s="80"/>
      <c r="K18" s="77"/>
      <c r="L18" s="25" t="s">
        <v>120</v>
      </c>
      <c r="M18" s="25" t="s">
        <v>121</v>
      </c>
      <c r="N18" s="122"/>
      <c r="O18" s="122"/>
      <c r="P18" s="121"/>
      <c r="Q18" s="121"/>
      <c r="R18" s="121"/>
      <c r="S18" s="121"/>
      <c r="T18" s="122"/>
      <c r="U18" s="122"/>
      <c r="V18" s="121"/>
      <c r="W18" s="122"/>
      <c r="X18" s="121"/>
      <c r="Y18" s="122"/>
      <c r="Z18" s="122"/>
      <c r="AA18" s="121"/>
      <c r="AB18" s="25"/>
      <c r="AC18" s="25"/>
      <c r="AD18" s="121"/>
      <c r="AE18" s="121"/>
      <c r="AF18" s="22">
        <f t="shared" si="8"/>
        <v>0</v>
      </c>
      <c r="AG18" s="15">
        <f t="shared" si="1"/>
        <v>0</v>
      </c>
      <c r="AH18" s="7">
        <f t="shared" si="2"/>
        <v>0</v>
      </c>
      <c r="AI18" s="7">
        <f t="shared" si="3"/>
        <v>0</v>
      </c>
      <c r="AJ18" s="7">
        <f t="shared" si="4"/>
        <v>0</v>
      </c>
      <c r="AK18" s="12">
        <f t="shared" si="5"/>
        <v>0</v>
      </c>
      <c r="AL18" s="14">
        <f t="shared" si="9"/>
        <v>0</v>
      </c>
      <c r="AM18" s="16" t="str">
        <f t="shared" si="7"/>
        <v>Unknown</v>
      </c>
      <c r="AN18" s="116"/>
      <c r="AO18" s="114"/>
      <c r="AP18" s="25" t="s">
        <v>121</v>
      </c>
    </row>
    <row r="19" spans="1:42" x14ac:dyDescent="0.25">
      <c r="A19" s="82">
        <v>44439</v>
      </c>
      <c r="B19" s="76"/>
      <c r="C19" s="25">
        <v>1802089</v>
      </c>
      <c r="D19" s="25" t="s">
        <v>92</v>
      </c>
      <c r="E19" s="77">
        <v>9</v>
      </c>
      <c r="F19" s="78">
        <v>668873.04869108205</v>
      </c>
      <c r="G19" s="79">
        <v>6046967.06112778</v>
      </c>
      <c r="H19" s="77" t="s">
        <v>125</v>
      </c>
      <c r="I19" s="77" t="s">
        <v>99</v>
      </c>
      <c r="J19" s="42"/>
      <c r="K19" s="77"/>
      <c r="L19" s="25" t="s">
        <v>120</v>
      </c>
      <c r="M19" s="25" t="s">
        <v>121</v>
      </c>
      <c r="N19" s="122"/>
      <c r="O19" s="122"/>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Unknown</v>
      </c>
      <c r="AN19" s="116"/>
      <c r="AO19" s="114"/>
      <c r="AP19" s="25" t="s">
        <v>127</v>
      </c>
    </row>
    <row r="20" spans="1:42" x14ac:dyDescent="0.25">
      <c r="A20" s="82">
        <v>44440</v>
      </c>
      <c r="B20" s="76"/>
      <c r="C20" s="25">
        <v>14000613</v>
      </c>
      <c r="D20" s="25" t="s">
        <v>92</v>
      </c>
      <c r="E20" s="77">
        <v>9</v>
      </c>
      <c r="F20" s="78">
        <v>5888851</v>
      </c>
      <c r="G20" s="79">
        <v>6003123</v>
      </c>
      <c r="H20" s="25" t="s">
        <v>129</v>
      </c>
      <c r="I20" s="77"/>
      <c r="J20" s="42"/>
      <c r="K20" s="77"/>
      <c r="L20" s="25" t="s">
        <v>120</v>
      </c>
      <c r="M20" s="25" t="s">
        <v>121</v>
      </c>
      <c r="N20" s="122"/>
      <c r="O20" s="122"/>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128</v>
      </c>
    </row>
    <row r="21" spans="1:42" x14ac:dyDescent="0.25">
      <c r="A21" s="82">
        <v>44440</v>
      </c>
      <c r="B21" s="76"/>
      <c r="C21" s="25">
        <v>14000621</v>
      </c>
      <c r="D21" s="25" t="s">
        <v>92</v>
      </c>
      <c r="E21" s="25">
        <v>9</v>
      </c>
      <c r="F21" s="75">
        <v>589552.49377389101</v>
      </c>
      <c r="G21" s="81">
        <v>6003685.2322368901</v>
      </c>
      <c r="H21" s="25" t="s">
        <v>129</v>
      </c>
      <c r="I21" s="25" t="s">
        <v>130</v>
      </c>
      <c r="J21" s="42"/>
      <c r="K21" s="25"/>
      <c r="L21" s="25" t="s">
        <v>100</v>
      </c>
      <c r="M21" s="25" t="s">
        <v>131</v>
      </c>
      <c r="N21" s="114">
        <v>1.95</v>
      </c>
      <c r="O21" s="114">
        <v>16</v>
      </c>
      <c r="P21" s="116" t="s">
        <v>106</v>
      </c>
      <c r="Q21" s="114">
        <v>0.15</v>
      </c>
      <c r="R21" s="116" t="s">
        <v>106</v>
      </c>
      <c r="S21" s="116" t="s">
        <v>102</v>
      </c>
      <c r="T21" s="122"/>
      <c r="U21" s="114">
        <v>2</v>
      </c>
      <c r="V21" s="116">
        <v>0</v>
      </c>
      <c r="W21" s="114">
        <v>0.05</v>
      </c>
      <c r="X21" s="116" t="s">
        <v>102</v>
      </c>
      <c r="Y21" s="114">
        <v>0.75</v>
      </c>
      <c r="Z21" s="114">
        <v>2.8</v>
      </c>
      <c r="AA21" s="116">
        <v>7</v>
      </c>
      <c r="AB21" s="25" t="s">
        <v>102</v>
      </c>
      <c r="AC21" s="25" t="s">
        <v>102</v>
      </c>
      <c r="AD21" s="116" t="s">
        <v>103</v>
      </c>
      <c r="AE21" s="116" t="s">
        <v>117</v>
      </c>
      <c r="AF21" s="22">
        <f t="shared" si="8"/>
        <v>1.4358974358974359</v>
      </c>
      <c r="AG21" s="15">
        <f t="shared" si="1"/>
        <v>3</v>
      </c>
      <c r="AH21" s="7">
        <f t="shared" si="2"/>
        <v>5</v>
      </c>
      <c r="AI21" s="7">
        <f t="shared" si="3"/>
        <v>0</v>
      </c>
      <c r="AJ21" s="7">
        <f t="shared" si="4"/>
        <v>0</v>
      </c>
      <c r="AK21" s="12">
        <f t="shared" si="5"/>
        <v>6</v>
      </c>
      <c r="AL21" s="14">
        <f t="shared" si="9"/>
        <v>14</v>
      </c>
      <c r="AM21" s="16" t="str">
        <f t="shared" si="7"/>
        <v>Passable</v>
      </c>
      <c r="AN21" s="121"/>
      <c r="AO21" s="122"/>
      <c r="AP21" s="25" t="s">
        <v>132</v>
      </c>
    </row>
    <row r="22" spans="1:42" ht="30" x14ac:dyDescent="0.25">
      <c r="A22" s="82">
        <v>44440</v>
      </c>
      <c r="B22" s="76"/>
      <c r="C22" s="25">
        <v>14000614</v>
      </c>
      <c r="D22" s="25" t="s">
        <v>92</v>
      </c>
      <c r="E22" s="77">
        <v>9</v>
      </c>
      <c r="F22" s="78">
        <v>590839.40499983996</v>
      </c>
      <c r="G22" s="79">
        <v>6004384.7713944903</v>
      </c>
      <c r="H22" s="77" t="s">
        <v>129</v>
      </c>
      <c r="I22" s="77" t="s">
        <v>130</v>
      </c>
      <c r="J22" s="80"/>
      <c r="K22" s="77"/>
      <c r="L22" s="25" t="s">
        <v>96</v>
      </c>
      <c r="M22" s="25" t="s">
        <v>97</v>
      </c>
      <c r="N22" s="114">
        <v>12.5</v>
      </c>
      <c r="O22" s="114">
        <v>5</v>
      </c>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Passable</v>
      </c>
      <c r="AN22" s="121"/>
      <c r="AO22" s="122"/>
      <c r="AP22" s="25" t="s">
        <v>133</v>
      </c>
    </row>
    <row r="23" spans="1:42" ht="30" x14ac:dyDescent="0.25">
      <c r="A23" s="82">
        <v>44440</v>
      </c>
      <c r="B23" s="76"/>
      <c r="C23" s="25">
        <v>14000944</v>
      </c>
      <c r="D23" s="25" t="s">
        <v>92</v>
      </c>
      <c r="E23" s="77">
        <v>9</v>
      </c>
      <c r="F23" s="78">
        <v>591400.32152242598</v>
      </c>
      <c r="G23" s="79">
        <v>6004533.1951315096</v>
      </c>
      <c r="H23" s="77" t="s">
        <v>129</v>
      </c>
      <c r="I23" s="77" t="s">
        <v>130</v>
      </c>
      <c r="J23" s="80"/>
      <c r="K23" s="77"/>
      <c r="L23" s="25" t="s">
        <v>96</v>
      </c>
      <c r="M23" s="25" t="s">
        <v>97</v>
      </c>
      <c r="N23" s="114">
        <v>9</v>
      </c>
      <c r="O23" s="114">
        <v>5</v>
      </c>
      <c r="P23" s="121"/>
      <c r="Q23" s="122"/>
      <c r="R23" s="121"/>
      <c r="S23" s="121"/>
      <c r="T23" s="122"/>
      <c r="U23" s="122"/>
      <c r="V23" s="121"/>
      <c r="W23" s="122"/>
      <c r="X23" s="121"/>
      <c r="Y23" s="122"/>
      <c r="Z23" s="122"/>
      <c r="AA23" s="121"/>
      <c r="AB23" s="25"/>
      <c r="AC23" s="25"/>
      <c r="AD23" s="121"/>
      <c r="AE23" s="121"/>
      <c r="AF23" s="22">
        <f t="shared" si="8"/>
        <v>0</v>
      </c>
      <c r="AG23" s="15">
        <f t="shared" si="1"/>
        <v>0</v>
      </c>
      <c r="AH23" s="7">
        <f t="shared" si="2"/>
        <v>0</v>
      </c>
      <c r="AI23" s="7">
        <f t="shared" si="3"/>
        <v>0</v>
      </c>
      <c r="AJ23" s="7">
        <f t="shared" si="4"/>
        <v>0</v>
      </c>
      <c r="AK23" s="12">
        <f t="shared" si="5"/>
        <v>0</v>
      </c>
      <c r="AL23" s="14">
        <f t="shared" si="9"/>
        <v>0</v>
      </c>
      <c r="AM23" s="16" t="str">
        <f t="shared" si="7"/>
        <v>Passable</v>
      </c>
      <c r="AN23" s="121"/>
      <c r="AO23" s="122"/>
      <c r="AP23" s="25" t="s">
        <v>134</v>
      </c>
    </row>
    <row r="24" spans="1:42" ht="30" x14ac:dyDescent="0.25">
      <c r="A24" s="82">
        <v>44440</v>
      </c>
      <c r="B24" s="76"/>
      <c r="C24" s="25">
        <v>14001249</v>
      </c>
      <c r="D24" s="25" t="s">
        <v>92</v>
      </c>
      <c r="E24" s="77">
        <v>9</v>
      </c>
      <c r="F24" s="78">
        <v>591714.98497556499</v>
      </c>
      <c r="G24" s="79">
        <v>6005281.7377794404</v>
      </c>
      <c r="H24" s="77" t="s">
        <v>129</v>
      </c>
      <c r="I24" s="77" t="s">
        <v>135</v>
      </c>
      <c r="J24" s="80"/>
      <c r="K24" s="77"/>
      <c r="L24" s="25" t="s">
        <v>120</v>
      </c>
      <c r="M24" s="25" t="s">
        <v>121</v>
      </c>
      <c r="N24" s="122"/>
      <c r="O24" s="122"/>
      <c r="P24" s="121"/>
      <c r="Q24" s="122"/>
      <c r="R24" s="121"/>
      <c r="S24" s="121"/>
      <c r="T24" s="122"/>
      <c r="U24" s="122"/>
      <c r="V24" s="121"/>
      <c r="W24" s="122"/>
      <c r="X24" s="121"/>
      <c r="Y24" s="122"/>
      <c r="Z24" s="122"/>
      <c r="AA24" s="121"/>
      <c r="AB24" s="25"/>
      <c r="AC24" s="25"/>
      <c r="AD24" s="121"/>
      <c r="AE24" s="121"/>
      <c r="AF24" s="22">
        <f t="shared" si="8"/>
        <v>0</v>
      </c>
      <c r="AG24" s="15">
        <f t="shared" si="1"/>
        <v>0</v>
      </c>
      <c r="AH24" s="7">
        <f t="shared" si="2"/>
        <v>0</v>
      </c>
      <c r="AI24" s="7">
        <f t="shared" si="3"/>
        <v>0</v>
      </c>
      <c r="AJ24" s="7">
        <f t="shared" si="4"/>
        <v>0</v>
      </c>
      <c r="AK24" s="12">
        <f t="shared" si="5"/>
        <v>0</v>
      </c>
      <c r="AL24" s="14">
        <f t="shared" si="9"/>
        <v>0</v>
      </c>
      <c r="AM24" s="16" t="str">
        <f t="shared" si="7"/>
        <v>Unknown</v>
      </c>
      <c r="AN24" s="116"/>
      <c r="AO24" s="114"/>
      <c r="AP24" s="25" t="s">
        <v>121</v>
      </c>
    </row>
    <row r="25" spans="1:42" ht="30" x14ac:dyDescent="0.25">
      <c r="A25" s="82">
        <v>44440</v>
      </c>
      <c r="B25" s="76"/>
      <c r="C25" s="25">
        <v>14000725</v>
      </c>
      <c r="D25" s="25" t="s">
        <v>92</v>
      </c>
      <c r="E25" s="77">
        <v>9</v>
      </c>
      <c r="F25" s="78">
        <v>598299.76788970898</v>
      </c>
      <c r="G25" s="79">
        <v>6007625.52256105</v>
      </c>
      <c r="H25" s="77" t="s">
        <v>129</v>
      </c>
      <c r="I25" s="77" t="s">
        <v>130</v>
      </c>
      <c r="J25" s="80"/>
      <c r="K25" s="77"/>
      <c r="L25" s="25" t="s">
        <v>96</v>
      </c>
      <c r="M25" s="25" t="s">
        <v>97</v>
      </c>
      <c r="N25" s="114">
        <v>14</v>
      </c>
      <c r="O25" s="114">
        <v>5</v>
      </c>
      <c r="P25" s="121"/>
      <c r="Q25" s="122"/>
      <c r="R25" s="121"/>
      <c r="S25" s="121"/>
      <c r="T25" s="122"/>
      <c r="U25" s="122"/>
      <c r="V25" s="121"/>
      <c r="W25" s="122"/>
      <c r="X25" s="121"/>
      <c r="Y25" s="122"/>
      <c r="Z25" s="122"/>
      <c r="AA25" s="121"/>
      <c r="AB25" s="25"/>
      <c r="AC25" s="25"/>
      <c r="AD25" s="121"/>
      <c r="AE25" s="121"/>
      <c r="AF25" s="22">
        <f t="shared" si="8"/>
        <v>0</v>
      </c>
      <c r="AG25" s="15">
        <f t="shared" si="1"/>
        <v>0</v>
      </c>
      <c r="AH25" s="7">
        <f t="shared" si="2"/>
        <v>0</v>
      </c>
      <c r="AI25" s="7">
        <f t="shared" si="3"/>
        <v>0</v>
      </c>
      <c r="AJ25" s="7">
        <f t="shared" si="4"/>
        <v>0</v>
      </c>
      <c r="AK25" s="12">
        <f t="shared" si="5"/>
        <v>0</v>
      </c>
      <c r="AL25" s="14">
        <f t="shared" si="9"/>
        <v>0</v>
      </c>
      <c r="AM25" s="16" t="str">
        <f t="shared" si="7"/>
        <v>Passable</v>
      </c>
      <c r="AN25" s="121"/>
      <c r="AO25" s="122"/>
      <c r="AP25" s="25" t="s">
        <v>97</v>
      </c>
    </row>
    <row r="26" spans="1:42" ht="30" x14ac:dyDescent="0.25">
      <c r="A26" s="82">
        <v>44440</v>
      </c>
      <c r="B26" s="76"/>
      <c r="C26" s="25">
        <v>14001542</v>
      </c>
      <c r="D26" s="25" t="s">
        <v>92</v>
      </c>
      <c r="E26" s="77">
        <v>9</v>
      </c>
      <c r="F26" s="78">
        <v>595641.48113037599</v>
      </c>
      <c r="G26" s="79">
        <v>6007684.8481979696</v>
      </c>
      <c r="H26" s="77" t="s">
        <v>129</v>
      </c>
      <c r="I26" s="77" t="s">
        <v>135</v>
      </c>
      <c r="J26" s="80"/>
      <c r="K26" s="77"/>
      <c r="L26" s="25" t="s">
        <v>120</v>
      </c>
      <c r="M26" s="25" t="s">
        <v>121</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136</v>
      </c>
    </row>
    <row r="27" spans="1:42" ht="30" x14ac:dyDescent="0.25">
      <c r="A27" s="82">
        <v>44440</v>
      </c>
      <c r="B27" s="76"/>
      <c r="C27" s="25">
        <v>14000828</v>
      </c>
      <c r="D27" s="25" t="s">
        <v>92</v>
      </c>
      <c r="E27" s="77">
        <v>9</v>
      </c>
      <c r="F27" s="78">
        <v>599393.95307541895</v>
      </c>
      <c r="G27" s="79">
        <v>6008488.7418485098</v>
      </c>
      <c r="H27" s="77" t="s">
        <v>129</v>
      </c>
      <c r="I27" s="77" t="s">
        <v>135</v>
      </c>
      <c r="J27" s="80"/>
      <c r="K27" s="77"/>
      <c r="L27" s="25" t="s">
        <v>100</v>
      </c>
      <c r="M27" s="25" t="s">
        <v>101</v>
      </c>
      <c r="N27" s="114">
        <v>1</v>
      </c>
      <c r="O27" s="114">
        <v>14</v>
      </c>
      <c r="P27" s="116" t="s">
        <v>106</v>
      </c>
      <c r="Q27" s="114">
        <v>0.05</v>
      </c>
      <c r="R27" s="116" t="s">
        <v>106</v>
      </c>
      <c r="S27" s="116" t="s">
        <v>102</v>
      </c>
      <c r="T27" s="122"/>
      <c r="U27" s="114">
        <v>1</v>
      </c>
      <c r="V27" s="116">
        <v>0</v>
      </c>
      <c r="W27" s="114">
        <v>0</v>
      </c>
      <c r="X27" s="116" t="s">
        <v>102</v>
      </c>
      <c r="Y27" s="114">
        <v>1</v>
      </c>
      <c r="Z27" s="114">
        <v>0.8</v>
      </c>
      <c r="AA27" s="116">
        <v>0</v>
      </c>
      <c r="AB27" s="25" t="s">
        <v>102</v>
      </c>
      <c r="AC27" s="25" t="s">
        <v>102</v>
      </c>
      <c r="AD27" s="116" t="s">
        <v>103</v>
      </c>
      <c r="AE27" s="116" t="s">
        <v>104</v>
      </c>
      <c r="AF27" s="22">
        <f t="shared" si="8"/>
        <v>0.8</v>
      </c>
      <c r="AG27" s="15">
        <f t="shared" si="1"/>
        <v>0</v>
      </c>
      <c r="AH27" s="7">
        <f t="shared" si="2"/>
        <v>5</v>
      </c>
      <c r="AI27" s="7">
        <f t="shared" si="3"/>
        <v>0</v>
      </c>
      <c r="AJ27" s="7">
        <f t="shared" si="4"/>
        <v>5</v>
      </c>
      <c r="AK27" s="12">
        <f t="shared" si="5"/>
        <v>0</v>
      </c>
      <c r="AL27" s="14">
        <f t="shared" si="9"/>
        <v>10</v>
      </c>
      <c r="AM27" s="16" t="str">
        <f t="shared" si="7"/>
        <v>Passable</v>
      </c>
      <c r="AN27" s="121"/>
      <c r="AO27" s="122"/>
      <c r="AP27" s="25" t="s">
        <v>139</v>
      </c>
    </row>
    <row r="28" spans="1:42" ht="30" x14ac:dyDescent="0.25">
      <c r="A28" s="82">
        <v>44440</v>
      </c>
      <c r="B28" s="76"/>
      <c r="C28" s="25">
        <v>14000949</v>
      </c>
      <c r="D28" s="25" t="s">
        <v>92</v>
      </c>
      <c r="E28" s="77">
        <v>9</v>
      </c>
      <c r="F28" s="78">
        <v>601529</v>
      </c>
      <c r="G28" s="79">
        <v>6006865</v>
      </c>
      <c r="H28" s="77" t="s">
        <v>129</v>
      </c>
      <c r="I28" s="77" t="s">
        <v>130</v>
      </c>
      <c r="J28" s="80"/>
      <c r="K28" s="77"/>
      <c r="L28" s="25" t="s">
        <v>100</v>
      </c>
      <c r="M28" s="25" t="s">
        <v>101</v>
      </c>
      <c r="N28" s="114">
        <v>1.2</v>
      </c>
      <c r="O28" s="114">
        <v>28</v>
      </c>
      <c r="P28" s="116" t="s">
        <v>102</v>
      </c>
      <c r="Q28" s="122"/>
      <c r="R28" s="116" t="s">
        <v>102</v>
      </c>
      <c r="S28" s="116" t="s">
        <v>102</v>
      </c>
      <c r="T28" s="122"/>
      <c r="U28" s="114">
        <v>1</v>
      </c>
      <c r="V28" s="116">
        <v>0.5</v>
      </c>
      <c r="W28" s="114">
        <v>0.1</v>
      </c>
      <c r="X28" s="116" t="s">
        <v>102</v>
      </c>
      <c r="Y28" s="114">
        <v>0.5</v>
      </c>
      <c r="Z28" s="114">
        <v>0.9</v>
      </c>
      <c r="AA28" s="116">
        <v>0.5</v>
      </c>
      <c r="AB28" s="25" t="s">
        <v>102</v>
      </c>
      <c r="AC28" s="25" t="s">
        <v>102</v>
      </c>
      <c r="AD28" s="116" t="s">
        <v>103</v>
      </c>
      <c r="AE28" s="116" t="s">
        <v>104</v>
      </c>
      <c r="AF28" s="22">
        <f t="shared" si="8"/>
        <v>0.75</v>
      </c>
      <c r="AG28" s="15">
        <f t="shared" si="1"/>
        <v>3</v>
      </c>
      <c r="AH28" s="7">
        <f t="shared" si="2"/>
        <v>10</v>
      </c>
      <c r="AI28" s="7">
        <f t="shared" si="3"/>
        <v>10</v>
      </c>
      <c r="AJ28" s="7">
        <f t="shared" si="4"/>
        <v>0</v>
      </c>
      <c r="AK28" s="12">
        <f t="shared" si="5"/>
        <v>0</v>
      </c>
      <c r="AL28" s="14">
        <f t="shared" si="9"/>
        <v>23</v>
      </c>
      <c r="AM28" s="16" t="str">
        <f t="shared" si="7"/>
        <v>Barrier</v>
      </c>
      <c r="AN28" s="116"/>
      <c r="AO28" s="114"/>
      <c r="AP28" s="25" t="s">
        <v>137</v>
      </c>
    </row>
    <row r="29" spans="1:42" ht="30" x14ac:dyDescent="0.25">
      <c r="A29" s="82">
        <v>44440</v>
      </c>
      <c r="B29" s="76"/>
      <c r="C29" s="25">
        <v>14000954</v>
      </c>
      <c r="D29" s="25" t="s">
        <v>92</v>
      </c>
      <c r="E29" s="77">
        <v>9</v>
      </c>
      <c r="F29" s="78">
        <v>603333.08796026302</v>
      </c>
      <c r="G29" s="79">
        <v>6007072.1473669996</v>
      </c>
      <c r="H29" s="77" t="s">
        <v>129</v>
      </c>
      <c r="I29" s="77" t="s">
        <v>130</v>
      </c>
      <c r="J29" s="80"/>
      <c r="K29" s="77"/>
      <c r="L29" s="25" t="s">
        <v>100</v>
      </c>
      <c r="M29" s="25" t="s">
        <v>101</v>
      </c>
      <c r="N29" s="114">
        <v>0.5</v>
      </c>
      <c r="O29" s="114">
        <v>18</v>
      </c>
      <c r="P29" s="116" t="s">
        <v>102</v>
      </c>
      <c r="Q29" s="122"/>
      <c r="R29" s="116" t="s">
        <v>102</v>
      </c>
      <c r="S29" s="116" t="s">
        <v>102</v>
      </c>
      <c r="T29" s="122"/>
      <c r="U29" s="114">
        <v>1.5</v>
      </c>
      <c r="V29" s="116">
        <v>0</v>
      </c>
      <c r="W29" s="114">
        <v>0</v>
      </c>
      <c r="X29" s="116" t="s">
        <v>102</v>
      </c>
      <c r="Y29" s="114">
        <v>1</v>
      </c>
      <c r="Z29" s="114">
        <v>1.3</v>
      </c>
      <c r="AA29" s="116">
        <v>0.5</v>
      </c>
      <c r="AB29" s="25" t="s">
        <v>102</v>
      </c>
      <c r="AC29" s="25" t="s">
        <v>102</v>
      </c>
      <c r="AD29" s="116" t="s">
        <v>103</v>
      </c>
      <c r="AE29" s="116" t="s">
        <v>104</v>
      </c>
      <c r="AF29" s="22">
        <f t="shared" si="8"/>
        <v>2.6</v>
      </c>
      <c r="AG29" s="15">
        <f t="shared" si="1"/>
        <v>3</v>
      </c>
      <c r="AH29" s="7">
        <f t="shared" si="2"/>
        <v>10</v>
      </c>
      <c r="AI29" s="7">
        <f t="shared" si="3"/>
        <v>0</v>
      </c>
      <c r="AJ29" s="7">
        <f t="shared" si="4"/>
        <v>5</v>
      </c>
      <c r="AK29" s="12">
        <f t="shared" si="5"/>
        <v>6</v>
      </c>
      <c r="AL29" s="14">
        <f t="shared" si="9"/>
        <v>24</v>
      </c>
      <c r="AM29" s="16" t="str">
        <f t="shared" si="7"/>
        <v>Barrier</v>
      </c>
      <c r="AN29" s="116"/>
      <c r="AO29" s="114"/>
      <c r="AP29" s="25" t="s">
        <v>138</v>
      </c>
    </row>
    <row r="30" spans="1:42" ht="30" x14ac:dyDescent="0.25">
      <c r="A30" s="82">
        <v>44440</v>
      </c>
      <c r="B30" s="76"/>
      <c r="C30" s="25">
        <v>14000908</v>
      </c>
      <c r="D30" s="25" t="s">
        <v>92</v>
      </c>
      <c r="E30" s="77">
        <v>9</v>
      </c>
      <c r="F30" s="78">
        <v>604357.25067469804</v>
      </c>
      <c r="G30" s="79">
        <v>6009290.5308722304</v>
      </c>
      <c r="H30" s="77" t="s">
        <v>129</v>
      </c>
      <c r="I30" s="77"/>
      <c r="J30" s="80"/>
      <c r="K30" s="77"/>
      <c r="L30" s="25" t="s">
        <v>120</v>
      </c>
      <c r="M30" s="25" t="s">
        <v>121</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140</v>
      </c>
    </row>
    <row r="31" spans="1:42" ht="30" x14ac:dyDescent="0.25">
      <c r="A31" s="82">
        <v>44440</v>
      </c>
      <c r="B31" s="76"/>
      <c r="C31" s="25">
        <v>14001002</v>
      </c>
      <c r="D31" s="25" t="s">
        <v>92</v>
      </c>
      <c r="E31" s="77">
        <v>9</v>
      </c>
      <c r="F31" s="78">
        <v>606614.99940753495</v>
      </c>
      <c r="G31" s="79">
        <v>6006103.9990610601</v>
      </c>
      <c r="H31" s="77" t="s">
        <v>141</v>
      </c>
      <c r="I31" s="77" t="s">
        <v>142</v>
      </c>
      <c r="J31" s="80"/>
      <c r="K31" s="77"/>
      <c r="L31" s="25" t="s">
        <v>100</v>
      </c>
      <c r="M31" s="25" t="s">
        <v>101</v>
      </c>
      <c r="N31" s="114">
        <v>1.1000000000000001</v>
      </c>
      <c r="O31" s="114">
        <v>30</v>
      </c>
      <c r="P31" s="116" t="s">
        <v>106</v>
      </c>
      <c r="Q31" s="114">
        <v>0.15</v>
      </c>
      <c r="R31" s="116" t="s">
        <v>106</v>
      </c>
      <c r="S31" s="116" t="s">
        <v>102</v>
      </c>
      <c r="T31" s="122"/>
      <c r="U31" s="114">
        <v>2</v>
      </c>
      <c r="V31" s="116">
        <v>0</v>
      </c>
      <c r="W31" s="114">
        <v>0.1</v>
      </c>
      <c r="X31" s="116" t="s">
        <v>106</v>
      </c>
      <c r="Y31" s="114">
        <v>1</v>
      </c>
      <c r="Z31" s="114">
        <v>2</v>
      </c>
      <c r="AA31" s="116">
        <v>5</v>
      </c>
      <c r="AB31" s="25" t="s">
        <v>102</v>
      </c>
      <c r="AC31" s="25" t="s">
        <v>106</v>
      </c>
      <c r="AD31" s="116" t="s">
        <v>103</v>
      </c>
      <c r="AE31" s="116" t="s">
        <v>117</v>
      </c>
      <c r="AF31" s="22">
        <f t="shared" si="8"/>
        <v>1.8181818181818181</v>
      </c>
      <c r="AG31" s="15">
        <f t="shared" si="1"/>
        <v>6</v>
      </c>
      <c r="AH31" s="7">
        <f t="shared" si="2"/>
        <v>5</v>
      </c>
      <c r="AI31" s="7">
        <f t="shared" si="3"/>
        <v>0</v>
      </c>
      <c r="AJ31" s="7">
        <f t="shared" si="4"/>
        <v>5</v>
      </c>
      <c r="AK31" s="12">
        <f t="shared" si="5"/>
        <v>6</v>
      </c>
      <c r="AL31" s="14">
        <f t="shared" si="9"/>
        <v>22</v>
      </c>
      <c r="AM31" s="16" t="str">
        <f t="shared" si="7"/>
        <v>Barrier</v>
      </c>
      <c r="AN31" s="116"/>
      <c r="AO31" s="114"/>
      <c r="AP31" s="25" t="s">
        <v>143</v>
      </c>
    </row>
    <row r="32" spans="1:42" ht="30" x14ac:dyDescent="0.25">
      <c r="A32" s="82">
        <v>44440</v>
      </c>
      <c r="B32" s="76"/>
      <c r="C32" s="25">
        <v>14001000</v>
      </c>
      <c r="D32" s="25" t="s">
        <v>92</v>
      </c>
      <c r="E32" s="77">
        <v>9</v>
      </c>
      <c r="F32" s="78">
        <v>613231.06074979599</v>
      </c>
      <c r="G32" s="79">
        <v>6005506.0045352904</v>
      </c>
      <c r="H32" s="77" t="s">
        <v>141</v>
      </c>
      <c r="I32" s="77" t="s">
        <v>142</v>
      </c>
      <c r="J32" s="80"/>
      <c r="K32" s="77"/>
      <c r="L32" s="25" t="s">
        <v>96</v>
      </c>
      <c r="M32" s="25" t="s">
        <v>97</v>
      </c>
      <c r="N32" s="114">
        <v>12</v>
      </c>
      <c r="O32" s="114">
        <v>6</v>
      </c>
      <c r="P32" s="121"/>
      <c r="Q32" s="122"/>
      <c r="R32" s="121"/>
      <c r="S32" s="121"/>
      <c r="T32" s="122"/>
      <c r="U32" s="122"/>
      <c r="V32" s="121"/>
      <c r="W32" s="122"/>
      <c r="X32" s="121"/>
      <c r="Y32" s="122"/>
      <c r="Z32" s="122"/>
      <c r="AA32" s="121"/>
      <c r="AB32" s="25"/>
      <c r="AC32" s="25"/>
      <c r="AD32" s="121"/>
      <c r="AE32" s="121"/>
      <c r="AF32" s="22">
        <f t="shared" si="8"/>
        <v>0</v>
      </c>
      <c r="AG32" s="15">
        <f t="shared" si="1"/>
        <v>0</v>
      </c>
      <c r="AH32" s="7">
        <f t="shared" si="2"/>
        <v>0</v>
      </c>
      <c r="AI32" s="7">
        <f t="shared" si="3"/>
        <v>0</v>
      </c>
      <c r="AJ32" s="7">
        <f t="shared" si="4"/>
        <v>0</v>
      </c>
      <c r="AK32" s="12">
        <f t="shared" si="5"/>
        <v>0</v>
      </c>
      <c r="AL32" s="14">
        <f t="shared" si="9"/>
        <v>0</v>
      </c>
      <c r="AM32" s="16" t="str">
        <f t="shared" si="7"/>
        <v>Passable</v>
      </c>
      <c r="AN32" s="121"/>
      <c r="AO32" s="122"/>
      <c r="AP32" s="25" t="s">
        <v>144</v>
      </c>
    </row>
    <row r="33" spans="1:42" ht="30" x14ac:dyDescent="0.25">
      <c r="A33" s="82">
        <v>44440</v>
      </c>
      <c r="B33" s="76"/>
      <c r="C33" s="25">
        <v>14000997</v>
      </c>
      <c r="D33" s="25" t="s">
        <v>92</v>
      </c>
      <c r="E33" s="77">
        <v>9</v>
      </c>
      <c r="F33" s="78">
        <v>613579.00486524601</v>
      </c>
      <c r="G33" s="79">
        <v>6005551.0015314799</v>
      </c>
      <c r="H33" s="77" t="s">
        <v>141</v>
      </c>
      <c r="I33" s="77" t="s">
        <v>142</v>
      </c>
      <c r="J33" s="80"/>
      <c r="K33" s="77"/>
      <c r="L33" s="25" t="s">
        <v>100</v>
      </c>
      <c r="M33" s="25" t="s">
        <v>101</v>
      </c>
      <c r="N33" s="114">
        <v>0.6</v>
      </c>
      <c r="O33" s="114">
        <v>20</v>
      </c>
      <c r="P33" s="116" t="s">
        <v>102</v>
      </c>
      <c r="Q33" s="122"/>
      <c r="R33" s="116" t="s">
        <v>102</v>
      </c>
      <c r="S33" s="116" t="s">
        <v>102</v>
      </c>
      <c r="T33" s="122"/>
      <c r="U33" s="114">
        <v>2.5</v>
      </c>
      <c r="V33" s="116">
        <v>0.5</v>
      </c>
      <c r="W33" s="114">
        <v>0</v>
      </c>
      <c r="X33" s="116" t="s">
        <v>102</v>
      </c>
      <c r="Y33" s="114">
        <v>3.5</v>
      </c>
      <c r="Z33" s="114">
        <v>1.2</v>
      </c>
      <c r="AA33" s="116">
        <v>5</v>
      </c>
      <c r="AB33" s="25" t="s">
        <v>102</v>
      </c>
      <c r="AC33" s="25" t="s">
        <v>102</v>
      </c>
      <c r="AD33" s="116" t="s">
        <v>103</v>
      </c>
      <c r="AE33" s="116" t="s">
        <v>104</v>
      </c>
      <c r="AF33" s="22">
        <f t="shared" si="8"/>
        <v>2</v>
      </c>
      <c r="AG33" s="15">
        <f t="shared" si="1"/>
        <v>3</v>
      </c>
      <c r="AH33" s="7">
        <f t="shared" si="2"/>
        <v>10</v>
      </c>
      <c r="AI33" s="7">
        <f t="shared" si="3"/>
        <v>10</v>
      </c>
      <c r="AJ33" s="7">
        <f t="shared" si="4"/>
        <v>10</v>
      </c>
      <c r="AK33" s="12">
        <f t="shared" si="5"/>
        <v>6</v>
      </c>
      <c r="AL33" s="14">
        <f t="shared" si="9"/>
        <v>39</v>
      </c>
      <c r="AM33" s="16" t="str">
        <f t="shared" si="7"/>
        <v>Barrier</v>
      </c>
      <c r="AN33" s="116"/>
      <c r="AO33" s="114"/>
      <c r="AP33" s="25" t="s">
        <v>145</v>
      </c>
    </row>
    <row r="34" spans="1:42" ht="30" x14ac:dyDescent="0.25">
      <c r="A34" s="82">
        <v>44440</v>
      </c>
      <c r="B34" s="76"/>
      <c r="C34" s="25">
        <v>14000988</v>
      </c>
      <c r="D34" s="25" t="s">
        <v>92</v>
      </c>
      <c r="E34" s="77">
        <v>9</v>
      </c>
      <c r="F34" s="78">
        <v>618098.09359216795</v>
      </c>
      <c r="G34" s="79">
        <v>6005788.0765250297</v>
      </c>
      <c r="H34" s="77" t="s">
        <v>141</v>
      </c>
      <c r="I34" s="77" t="s">
        <v>142</v>
      </c>
      <c r="J34" s="80"/>
      <c r="K34" s="77"/>
      <c r="L34" s="25" t="s">
        <v>96</v>
      </c>
      <c r="M34" s="25" t="s">
        <v>97</v>
      </c>
      <c r="N34" s="114">
        <v>7</v>
      </c>
      <c r="O34" s="114">
        <v>27</v>
      </c>
      <c r="P34" s="121"/>
      <c r="Q34" s="122"/>
      <c r="R34" s="121"/>
      <c r="S34" s="121"/>
      <c r="T34" s="122"/>
      <c r="U34" s="122"/>
      <c r="V34" s="121"/>
      <c r="W34" s="122"/>
      <c r="X34" s="121"/>
      <c r="Y34" s="122"/>
      <c r="Z34" s="122"/>
      <c r="AA34" s="121"/>
      <c r="AB34" s="25"/>
      <c r="AC34" s="25"/>
      <c r="AD34" s="121"/>
      <c r="AE34" s="121"/>
      <c r="AF34" s="22">
        <f t="shared" si="8"/>
        <v>0</v>
      </c>
      <c r="AG34" s="15">
        <f t="shared" si="1"/>
        <v>3</v>
      </c>
      <c r="AH34" s="7">
        <f t="shared" si="2"/>
        <v>0</v>
      </c>
      <c r="AI34" s="7">
        <f t="shared" si="3"/>
        <v>0</v>
      </c>
      <c r="AJ34" s="7">
        <f t="shared" si="4"/>
        <v>0</v>
      </c>
      <c r="AK34" s="12">
        <f t="shared" si="5"/>
        <v>0</v>
      </c>
      <c r="AL34" s="14">
        <f t="shared" si="9"/>
        <v>3</v>
      </c>
      <c r="AM34" s="16" t="str">
        <f t="shared" si="7"/>
        <v>Passable</v>
      </c>
      <c r="AN34" s="121"/>
      <c r="AO34" s="122"/>
      <c r="AP34" s="25" t="s">
        <v>146</v>
      </c>
    </row>
    <row r="35" spans="1:42" x14ac:dyDescent="0.25">
      <c r="A35" s="82">
        <v>44441</v>
      </c>
      <c r="B35" s="76"/>
      <c r="C35" s="25">
        <v>14000931</v>
      </c>
      <c r="D35" s="25" t="s">
        <v>92</v>
      </c>
      <c r="E35" s="77">
        <v>9</v>
      </c>
      <c r="F35" s="78">
        <v>601878.16694563301</v>
      </c>
      <c r="G35" s="79">
        <v>5984146.4607970603</v>
      </c>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82">
        <v>44441</v>
      </c>
      <c r="B36" s="76"/>
      <c r="C36" s="25">
        <v>14000932</v>
      </c>
      <c r="D36" s="25"/>
      <c r="E36" s="77">
        <v>9</v>
      </c>
      <c r="F36" s="78">
        <v>602457.77206016798</v>
      </c>
      <c r="G36" s="79">
        <v>5984531.5444654804</v>
      </c>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ht="30" x14ac:dyDescent="0.25">
      <c r="A37" s="82">
        <v>44441</v>
      </c>
      <c r="B37" s="76"/>
      <c r="C37" s="25">
        <v>14001721</v>
      </c>
      <c r="D37" s="25"/>
      <c r="E37" s="77">
        <v>9</v>
      </c>
      <c r="F37" s="78">
        <v>603204.58546165703</v>
      </c>
      <c r="G37" s="79">
        <v>5988285.5603296403</v>
      </c>
      <c r="H37" s="77" t="s">
        <v>202</v>
      </c>
      <c r="I37" s="77" t="s">
        <v>135</v>
      </c>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82">
        <v>44441</v>
      </c>
      <c r="B38" s="76"/>
      <c r="C38" s="25">
        <v>14001775</v>
      </c>
      <c r="D38" s="25"/>
      <c r="E38" s="77">
        <v>9</v>
      </c>
      <c r="F38" s="78">
        <v>607923.557815757</v>
      </c>
      <c r="G38" s="79">
        <v>5987440.5667600203</v>
      </c>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82">
        <v>44441</v>
      </c>
      <c r="B39" s="76"/>
      <c r="C39" s="25">
        <v>14001414</v>
      </c>
      <c r="D39" s="25"/>
      <c r="E39" s="77">
        <v>9</v>
      </c>
      <c r="F39" s="78">
        <v>607342.92395980097</v>
      </c>
      <c r="G39" s="79">
        <v>5987705.4698965596</v>
      </c>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v>44441</v>
      </c>
      <c r="B40" s="76"/>
      <c r="C40" s="25">
        <v>14001411</v>
      </c>
      <c r="D40" s="25"/>
      <c r="E40" s="77">
        <v>9</v>
      </c>
      <c r="F40" s="78">
        <v>607303.34909975401</v>
      </c>
      <c r="G40" s="79">
        <v>5987118.6181682702</v>
      </c>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82">
        <v>44441</v>
      </c>
      <c r="B41" s="76"/>
      <c r="C41" s="25">
        <v>2021090299</v>
      </c>
      <c r="D41" s="25"/>
      <c r="E41" s="77">
        <v>9</v>
      </c>
      <c r="F41" s="78">
        <v>598684</v>
      </c>
      <c r="G41" s="79">
        <v>5984563</v>
      </c>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82">
        <v>44441</v>
      </c>
      <c r="B42" s="76"/>
      <c r="C42" s="25">
        <v>14000536</v>
      </c>
      <c r="D42" s="25"/>
      <c r="E42" s="77">
        <v>9</v>
      </c>
      <c r="F42" s="78">
        <v>598400.61827861203</v>
      </c>
      <c r="G42" s="79">
        <v>5984485.4993963102</v>
      </c>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82">
        <v>44441</v>
      </c>
      <c r="B43" s="76"/>
      <c r="C43" s="25">
        <v>2021090201</v>
      </c>
      <c r="D43" s="25"/>
      <c r="E43" s="77">
        <v>9</v>
      </c>
      <c r="F43" s="78">
        <v>649728</v>
      </c>
      <c r="G43" s="79">
        <v>6029328</v>
      </c>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82">
        <v>44441</v>
      </c>
      <c r="B44" s="76"/>
      <c r="C44" s="116">
        <v>2021090202</v>
      </c>
      <c r="D44" s="25"/>
      <c r="E44" s="77">
        <v>9</v>
      </c>
      <c r="F44" s="78">
        <v>605230</v>
      </c>
      <c r="G44" s="79">
        <v>5992698</v>
      </c>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82">
        <v>44441</v>
      </c>
      <c r="B45" s="76"/>
      <c r="C45" s="25">
        <v>14000312</v>
      </c>
      <c r="D45" s="25"/>
      <c r="E45" s="77">
        <v>9</v>
      </c>
      <c r="F45" s="78">
        <v>602253.548910824</v>
      </c>
      <c r="G45" s="79">
        <v>5994059.3543407395</v>
      </c>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82">
        <v>44441</v>
      </c>
      <c r="B46" s="76"/>
      <c r="C46" s="25">
        <v>14000477</v>
      </c>
      <c r="D46" s="25"/>
      <c r="E46" s="77">
        <v>9</v>
      </c>
      <c r="F46" s="78">
        <v>602528.97906432895</v>
      </c>
      <c r="G46" s="79">
        <v>5994071.1778247096</v>
      </c>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82">
        <v>44442</v>
      </c>
      <c r="B47" s="76"/>
      <c r="C47" s="25">
        <v>14000564</v>
      </c>
      <c r="D47" s="25"/>
      <c r="E47" s="77">
        <v>9</v>
      </c>
      <c r="F47" s="78">
        <v>608289.82730389596</v>
      </c>
      <c r="G47" s="79">
        <v>6021336.3061666302</v>
      </c>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82">
        <v>44442</v>
      </c>
      <c r="B48" s="76"/>
      <c r="C48" s="25">
        <v>14000689</v>
      </c>
      <c r="D48" s="25"/>
      <c r="E48" s="77">
        <v>9</v>
      </c>
      <c r="F48" s="78">
        <v>608006.42109040997</v>
      </c>
      <c r="G48" s="79">
        <v>6018209.0495384904</v>
      </c>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v>44442</v>
      </c>
      <c r="B49" s="76"/>
      <c r="C49" s="25">
        <v>2021090301</v>
      </c>
      <c r="D49" s="25"/>
      <c r="E49" s="77">
        <v>9</v>
      </c>
      <c r="F49" s="78">
        <v>607829</v>
      </c>
      <c r="G49" s="79">
        <v>6016958</v>
      </c>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82">
        <v>44442</v>
      </c>
      <c r="B50" s="76"/>
      <c r="C50" s="25">
        <v>14000684</v>
      </c>
      <c r="D50" s="25"/>
      <c r="E50" s="77">
        <v>9</v>
      </c>
      <c r="F50" s="78">
        <v>607024.31804250402</v>
      </c>
      <c r="G50" s="79">
        <v>6013942.0869587902</v>
      </c>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ht="30" x14ac:dyDescent="0.25">
      <c r="A51" s="82">
        <v>44442</v>
      </c>
      <c r="B51" s="76"/>
      <c r="C51" s="25">
        <v>2021090302</v>
      </c>
      <c r="D51" s="25"/>
      <c r="E51" s="77">
        <v>9</v>
      </c>
      <c r="F51" s="78">
        <v>608209</v>
      </c>
      <c r="G51" s="79">
        <v>6010247</v>
      </c>
      <c r="H51" s="77" t="s">
        <v>206</v>
      </c>
      <c r="I51" s="77" t="s">
        <v>207</v>
      </c>
      <c r="J51" s="80">
        <v>41.1</v>
      </c>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82">
        <v>44442</v>
      </c>
      <c r="B52" s="76"/>
      <c r="C52" s="25">
        <v>14000680</v>
      </c>
      <c r="D52" s="25"/>
      <c r="E52" s="77">
        <v>9</v>
      </c>
      <c r="F52" s="78">
        <v>612913.40752716805</v>
      </c>
      <c r="G52" s="79">
        <v>6009066.9226235598</v>
      </c>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82">
        <v>44442</v>
      </c>
      <c r="B53" s="76"/>
      <c r="C53" s="25">
        <v>14001323</v>
      </c>
      <c r="D53" s="25"/>
      <c r="E53" s="77">
        <v>9</v>
      </c>
      <c r="F53" s="78">
        <v>612980.54626600898</v>
      </c>
      <c r="G53" s="79">
        <v>6011439.1621690402</v>
      </c>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82">
        <v>44442</v>
      </c>
      <c r="B54" s="76"/>
      <c r="C54" s="25">
        <v>2021090303</v>
      </c>
      <c r="D54" s="25"/>
      <c r="E54" s="77">
        <v>9</v>
      </c>
      <c r="F54" s="78">
        <v>614402</v>
      </c>
      <c r="G54" s="79">
        <v>6010350</v>
      </c>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82">
        <v>44442</v>
      </c>
      <c r="B55" s="76"/>
      <c r="C55" s="25">
        <v>2021090399</v>
      </c>
      <c r="D55" s="25"/>
      <c r="E55" s="77">
        <v>9</v>
      </c>
      <c r="F55" s="78">
        <v>614676</v>
      </c>
      <c r="G55" s="79">
        <v>6007859</v>
      </c>
      <c r="H55" s="77" t="s">
        <v>147</v>
      </c>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82">
        <v>44442</v>
      </c>
      <c r="B56" s="76"/>
      <c r="C56" s="25">
        <v>14001177</v>
      </c>
      <c r="D56" s="25"/>
      <c r="E56" s="77">
        <v>9</v>
      </c>
      <c r="F56" s="78">
        <v>620026.22266459605</v>
      </c>
      <c r="G56" s="79">
        <v>6010830.7737105498</v>
      </c>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82">
        <v>44442</v>
      </c>
      <c r="B57" s="76"/>
      <c r="C57" s="25">
        <v>14000690</v>
      </c>
      <c r="D57" s="25"/>
      <c r="E57" s="77">
        <v>9</v>
      </c>
      <c r="F57" s="78">
        <v>625491.39548376203</v>
      </c>
      <c r="G57" s="79">
        <v>6008365.02844634</v>
      </c>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82">
        <v>44442</v>
      </c>
      <c r="B58" s="76"/>
      <c r="C58" s="25">
        <v>14001563</v>
      </c>
      <c r="D58" s="25"/>
      <c r="E58" s="77">
        <v>9</v>
      </c>
      <c r="F58" s="78">
        <v>630001.20455903898</v>
      </c>
      <c r="G58" s="79">
        <v>6009751.8607862899</v>
      </c>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82">
        <v>44442</v>
      </c>
      <c r="B59" s="76"/>
      <c r="C59" s="25">
        <v>14000696</v>
      </c>
      <c r="D59" s="25"/>
      <c r="E59" s="77">
        <v>9</v>
      </c>
      <c r="F59" s="78">
        <v>630596.41920859704</v>
      </c>
      <c r="G59" s="79">
        <v>6010649.8592776395</v>
      </c>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82">
        <v>44443</v>
      </c>
      <c r="B60" s="76"/>
      <c r="C60" s="25">
        <v>1800422</v>
      </c>
      <c r="D60" s="25"/>
      <c r="E60" s="77">
        <v>9</v>
      </c>
      <c r="F60" s="78">
        <v>679525.36521086795</v>
      </c>
      <c r="G60" s="79">
        <v>6039648.9788458701</v>
      </c>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83">
        <v>44444</v>
      </c>
      <c r="C61" s="10">
        <v>1801133</v>
      </c>
      <c r="D61" s="25"/>
      <c r="E61" s="77">
        <v>9</v>
      </c>
      <c r="F61" s="78">
        <v>674339.06640061399</v>
      </c>
      <c r="G61" s="79">
        <v>6039594.9908870999</v>
      </c>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82">
        <v>44444</v>
      </c>
      <c r="B62" s="76"/>
      <c r="C62" s="25">
        <v>1801969</v>
      </c>
      <c r="D62" s="25"/>
      <c r="E62" s="77">
        <v>9</v>
      </c>
      <c r="F62" s="78">
        <v>673797.05810733605</v>
      </c>
      <c r="G62" s="79">
        <v>6038905.9921734398</v>
      </c>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82">
        <v>44444</v>
      </c>
      <c r="B63" s="76"/>
      <c r="C63" s="25">
        <v>1803928</v>
      </c>
      <c r="D63" s="25"/>
      <c r="E63" s="77">
        <v>9</v>
      </c>
      <c r="F63" s="78">
        <v>691148.05685461801</v>
      </c>
      <c r="G63" s="79">
        <v>6033244.7100853696</v>
      </c>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82">
        <v>44444</v>
      </c>
      <c r="B64" s="76"/>
      <c r="C64" s="25">
        <v>1804238</v>
      </c>
      <c r="D64" s="25"/>
      <c r="E64" s="77">
        <v>9</v>
      </c>
      <c r="F64" s="78">
        <v>675156.00618983502</v>
      </c>
      <c r="G64" s="79">
        <v>6039878.01479524</v>
      </c>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82">
        <v>44452</v>
      </c>
      <c r="B65" s="76"/>
      <c r="C65" s="25">
        <v>24704566</v>
      </c>
      <c r="D65" s="25"/>
      <c r="E65" s="77">
        <v>9</v>
      </c>
      <c r="F65" s="78">
        <v>605785.55893804296</v>
      </c>
      <c r="G65" s="79">
        <v>6099883.8271172596</v>
      </c>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ht="30" x14ac:dyDescent="0.25">
      <c r="A66" s="82">
        <v>44419</v>
      </c>
      <c r="B66" s="76"/>
      <c r="C66" s="25">
        <v>14000991</v>
      </c>
      <c r="D66" s="25" t="s">
        <v>194</v>
      </c>
      <c r="E66" s="77">
        <v>9</v>
      </c>
      <c r="F66" s="78">
        <v>623922.99208324496</v>
      </c>
      <c r="G66" s="79">
        <v>6005103.9063589098</v>
      </c>
      <c r="H66" s="77" t="s">
        <v>141</v>
      </c>
      <c r="I66" s="77" t="s">
        <v>142</v>
      </c>
      <c r="J66" s="80">
        <v>45.5</v>
      </c>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82">
        <v>44446</v>
      </c>
      <c r="B67" s="76"/>
      <c r="C67" s="25">
        <v>14000798</v>
      </c>
      <c r="D67" s="25" t="s">
        <v>204</v>
      </c>
      <c r="E67" s="77">
        <v>9</v>
      </c>
      <c r="F67" s="78">
        <v>643460.29364100995</v>
      </c>
      <c r="G67" s="79">
        <v>6025889.5422638701</v>
      </c>
      <c r="H67" s="77" t="s">
        <v>205</v>
      </c>
      <c r="I67" s="77" t="s">
        <v>201</v>
      </c>
      <c r="J67" s="80">
        <v>7.4</v>
      </c>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82">
        <v>44439</v>
      </c>
      <c r="B68" s="76"/>
      <c r="C68" s="25">
        <v>1805531</v>
      </c>
      <c r="D68" s="25" t="s">
        <v>148</v>
      </c>
      <c r="E68" s="77">
        <v>9</v>
      </c>
      <c r="F68" s="78">
        <v>690763.80725407798</v>
      </c>
      <c r="G68" s="79">
        <v>6031192.3329179203</v>
      </c>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82">
        <v>44439</v>
      </c>
      <c r="B69" s="76"/>
      <c r="C69" s="25">
        <v>1805529</v>
      </c>
      <c r="D69" s="25"/>
      <c r="E69" s="77">
        <v>9</v>
      </c>
      <c r="F69" s="78">
        <v>691218.30854211596</v>
      </c>
      <c r="G69" s="79">
        <v>6031478.40581406</v>
      </c>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82">
        <v>44439</v>
      </c>
      <c r="B70" s="76"/>
      <c r="C70" s="25">
        <v>2021083150</v>
      </c>
      <c r="D70" s="25"/>
      <c r="E70" s="77">
        <v>9</v>
      </c>
      <c r="F70" s="78">
        <v>691168.99</v>
      </c>
      <c r="G70" s="79">
        <v>6031457.7999999998</v>
      </c>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82">
        <v>44439</v>
      </c>
      <c r="B71" s="76"/>
      <c r="C71" s="25">
        <v>1800049</v>
      </c>
      <c r="D71" s="25"/>
      <c r="E71" s="77">
        <v>9</v>
      </c>
      <c r="F71" s="78">
        <v>692281.22101036296</v>
      </c>
      <c r="G71" s="79">
        <v>6032071.8177236198</v>
      </c>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82">
        <v>44439</v>
      </c>
      <c r="B72" s="76"/>
      <c r="C72" s="25">
        <v>1800050</v>
      </c>
      <c r="D72" s="25"/>
      <c r="E72" s="77">
        <v>9</v>
      </c>
      <c r="F72" s="78">
        <v>692434.60075294902</v>
      </c>
      <c r="G72" s="79">
        <v>6032330.5097483601</v>
      </c>
      <c r="H72" s="77" t="s">
        <v>169</v>
      </c>
      <c r="I72" s="77" t="s">
        <v>170</v>
      </c>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82">
        <v>44439</v>
      </c>
      <c r="B73" s="76"/>
      <c r="C73" s="25">
        <v>1801117</v>
      </c>
      <c r="D73" s="25"/>
      <c r="E73" s="77">
        <v>9</v>
      </c>
      <c r="F73" s="78">
        <v>690733.005845065</v>
      </c>
      <c r="G73" s="79">
        <v>6032353.0778411198</v>
      </c>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82">
        <v>44439</v>
      </c>
      <c r="B74" s="76"/>
      <c r="C74" s="25">
        <v>1800583</v>
      </c>
      <c r="D74" s="25"/>
      <c r="E74" s="77">
        <v>9</v>
      </c>
      <c r="F74" s="78">
        <v>689261.99955990503</v>
      </c>
      <c r="G74" s="79">
        <v>6033534.9500874998</v>
      </c>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82">
        <v>44439</v>
      </c>
      <c r="B75" s="76"/>
      <c r="C75" s="25">
        <v>1803813</v>
      </c>
      <c r="D75" s="25"/>
      <c r="E75" s="77">
        <v>9</v>
      </c>
      <c r="F75" s="78">
        <v>684415.02386144199</v>
      </c>
      <c r="G75" s="79">
        <v>6035809.0709861796</v>
      </c>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82">
        <v>44439</v>
      </c>
      <c r="B76" s="76"/>
      <c r="C76" s="25">
        <v>1805000</v>
      </c>
      <c r="D76" s="25"/>
      <c r="E76" s="77">
        <v>9</v>
      </c>
      <c r="F76" s="78">
        <v>685301.02751710999</v>
      </c>
      <c r="G76" s="79">
        <v>6036064.9992093705</v>
      </c>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82">
        <v>44439</v>
      </c>
      <c r="B77" s="76"/>
      <c r="C77" s="25">
        <v>1802040</v>
      </c>
      <c r="D77" s="25"/>
      <c r="E77" s="77">
        <v>9</v>
      </c>
      <c r="F77" s="78">
        <v>684950.083472147</v>
      </c>
      <c r="G77" s="79">
        <v>6035440.0281009302</v>
      </c>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82">
        <v>44439</v>
      </c>
      <c r="B78" s="76"/>
      <c r="C78" s="25">
        <v>1802039</v>
      </c>
      <c r="D78" s="25"/>
      <c r="E78" s="77">
        <v>9</v>
      </c>
      <c r="F78" s="78">
        <v>685413.522101045</v>
      </c>
      <c r="G78" s="79">
        <v>6035362.1188799301</v>
      </c>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82">
        <v>44439</v>
      </c>
      <c r="B79" s="76"/>
      <c r="C79" s="25">
        <v>1800356</v>
      </c>
      <c r="D79" s="25"/>
      <c r="E79" s="77">
        <v>9</v>
      </c>
      <c r="F79" s="78">
        <v>680383.18690171605</v>
      </c>
      <c r="G79" s="79">
        <v>6040055.5083278902</v>
      </c>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82">
        <v>44439</v>
      </c>
      <c r="B80" s="76"/>
      <c r="C80" s="25">
        <v>1801122</v>
      </c>
      <c r="D80" s="25"/>
      <c r="E80" s="77">
        <v>9</v>
      </c>
      <c r="F80" s="78">
        <v>680832.00003985001</v>
      </c>
      <c r="G80" s="79">
        <v>6040044.9625181099</v>
      </c>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82">
        <v>44439</v>
      </c>
      <c r="B81" s="76"/>
      <c r="C81" s="25">
        <v>1800355</v>
      </c>
      <c r="D81" s="25"/>
      <c r="E81" s="77">
        <v>9</v>
      </c>
      <c r="F81" s="78">
        <v>680644.76798266894</v>
      </c>
      <c r="G81" s="79">
        <v>6039755.5547551401</v>
      </c>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82">
        <v>44440</v>
      </c>
      <c r="B82" s="76"/>
      <c r="C82" s="25">
        <v>2021090150</v>
      </c>
      <c r="D82" s="25"/>
      <c r="E82" s="77">
        <v>9</v>
      </c>
      <c r="F82" s="78">
        <v>592509.82999999996</v>
      </c>
      <c r="G82" s="79">
        <v>6004822.9500000002</v>
      </c>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82">
        <v>44440</v>
      </c>
      <c r="B83" s="76"/>
      <c r="C83" s="25">
        <v>2021090151</v>
      </c>
      <c r="D83" s="25"/>
      <c r="E83" s="77">
        <v>9</v>
      </c>
      <c r="F83" s="78">
        <v>592921.92000000004</v>
      </c>
      <c r="G83" s="79">
        <v>6005009.3099999996</v>
      </c>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82">
        <v>44440</v>
      </c>
      <c r="B84" s="76"/>
      <c r="C84" s="25">
        <v>2021090152</v>
      </c>
      <c r="D84" s="25"/>
      <c r="E84" s="77">
        <v>9</v>
      </c>
      <c r="F84" s="78">
        <v>595765.26</v>
      </c>
      <c r="G84" s="79">
        <v>6006121.5199999996</v>
      </c>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82">
        <v>44440</v>
      </c>
      <c r="B85" s="76"/>
      <c r="C85" s="25">
        <v>14000956</v>
      </c>
      <c r="D85" s="25"/>
      <c r="E85" s="77">
        <v>9</v>
      </c>
      <c r="F85" s="78">
        <v>596610.53058170597</v>
      </c>
      <c r="G85" s="79">
        <v>6006122.9196187202</v>
      </c>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82">
        <v>44440</v>
      </c>
      <c r="B86" s="76"/>
      <c r="C86" s="25">
        <v>2021090153</v>
      </c>
      <c r="D86" s="25"/>
      <c r="E86" s="77">
        <v>9</v>
      </c>
      <c r="F86" s="78">
        <v>596697.94999999995</v>
      </c>
      <c r="G86" s="79">
        <v>6006213.3399999999</v>
      </c>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82">
        <v>44440</v>
      </c>
      <c r="B87" s="76"/>
      <c r="C87" s="25">
        <v>2021090154</v>
      </c>
      <c r="D87" s="25"/>
      <c r="E87" s="77">
        <v>9</v>
      </c>
      <c r="F87" s="78">
        <v>598157.43000000005</v>
      </c>
      <c r="G87" s="79">
        <v>6006328.79</v>
      </c>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82">
        <v>44440</v>
      </c>
      <c r="B88" s="76"/>
      <c r="C88" s="25">
        <v>14000488</v>
      </c>
      <c r="D88" s="25"/>
      <c r="E88" s="77">
        <v>9</v>
      </c>
      <c r="F88" s="78">
        <v>584581.04305186798</v>
      </c>
      <c r="G88" s="79">
        <v>6003387.65586833</v>
      </c>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82">
        <v>44440</v>
      </c>
      <c r="B89" s="76"/>
      <c r="C89" s="25">
        <v>2021090155</v>
      </c>
      <c r="D89" s="25"/>
      <c r="E89" s="77">
        <v>9</v>
      </c>
      <c r="F89" s="78">
        <v>584043.6</v>
      </c>
      <c r="G89" s="79">
        <v>6003654.7599999998</v>
      </c>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82">
        <v>44440</v>
      </c>
      <c r="B90" s="76"/>
      <c r="C90" s="25">
        <v>2021090156</v>
      </c>
      <c r="D90" s="25"/>
      <c r="E90" s="77">
        <v>9</v>
      </c>
      <c r="F90" s="78">
        <v>584889.52</v>
      </c>
      <c r="G90" s="79">
        <v>6003492.1799999997</v>
      </c>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v>44440</v>
      </c>
      <c r="B91" s="76"/>
      <c r="C91" s="25">
        <v>2021090157</v>
      </c>
      <c r="D91" s="25"/>
      <c r="E91" s="77">
        <v>9</v>
      </c>
      <c r="F91" s="78">
        <v>585701.72</v>
      </c>
      <c r="G91" s="79">
        <v>6004479.9100000001</v>
      </c>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v>44440</v>
      </c>
      <c r="B92" s="76"/>
      <c r="C92" s="25">
        <v>14000421</v>
      </c>
      <c r="D92" s="25"/>
      <c r="E92" s="77">
        <v>9</v>
      </c>
      <c r="F92" s="78">
        <v>587108.39635754295</v>
      </c>
      <c r="G92" s="79">
        <v>6005345.6034496604</v>
      </c>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82">
        <v>44440</v>
      </c>
      <c r="B93" s="76"/>
      <c r="C93" s="25">
        <v>2021090158</v>
      </c>
      <c r="D93" s="25"/>
      <c r="E93" s="77">
        <v>9</v>
      </c>
      <c r="F93" s="78">
        <v>587095.15</v>
      </c>
      <c r="G93" s="79">
        <v>6005361.8700000001</v>
      </c>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82">
        <v>44440</v>
      </c>
      <c r="B94" s="76"/>
      <c r="C94" s="25">
        <v>2021090158</v>
      </c>
      <c r="D94" s="25"/>
      <c r="E94" s="77">
        <v>9</v>
      </c>
      <c r="F94" s="78">
        <v>587003.87</v>
      </c>
      <c r="G94" s="79">
        <v>6005322.3099999996</v>
      </c>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82">
        <v>44440</v>
      </c>
      <c r="B95" s="76"/>
      <c r="C95" s="25">
        <v>2021090159</v>
      </c>
      <c r="D95" s="25"/>
      <c r="E95" s="77">
        <v>9</v>
      </c>
      <c r="F95" s="78">
        <v>587080.73</v>
      </c>
      <c r="G95" s="79">
        <v>6005468.4400000004</v>
      </c>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82">
        <v>44440</v>
      </c>
      <c r="B96" s="76"/>
      <c r="C96" s="25">
        <v>2021090160</v>
      </c>
      <c r="D96" s="25"/>
      <c r="E96" s="77">
        <v>9</v>
      </c>
      <c r="F96" s="78">
        <v>587368.16</v>
      </c>
      <c r="G96" s="79">
        <v>6005868.9699999997</v>
      </c>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82">
        <v>44440</v>
      </c>
      <c r="B97" s="76"/>
      <c r="C97" s="25">
        <v>2021090161</v>
      </c>
      <c r="D97" s="25"/>
      <c r="E97" s="77">
        <v>9</v>
      </c>
      <c r="F97" s="78">
        <v>587307.55000000005</v>
      </c>
      <c r="G97" s="79">
        <v>6005829.9900000002</v>
      </c>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82">
        <v>44440</v>
      </c>
      <c r="B98" s="76"/>
      <c r="C98" s="25">
        <v>14000494</v>
      </c>
      <c r="D98" s="25"/>
      <c r="E98" s="77">
        <v>9</v>
      </c>
      <c r="F98" s="78">
        <v>588957.380100635</v>
      </c>
      <c r="G98" s="79">
        <v>6007080.7107621301</v>
      </c>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82">
        <v>44440</v>
      </c>
      <c r="B99" s="76"/>
      <c r="C99" s="25">
        <v>14000481</v>
      </c>
      <c r="D99" s="25"/>
      <c r="E99" s="77">
        <v>9</v>
      </c>
      <c r="F99" s="78">
        <v>589783.61176328897</v>
      </c>
      <c r="G99" s="79">
        <v>6007797.9390113102</v>
      </c>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82">
        <v>44440</v>
      </c>
      <c r="B100" s="76"/>
      <c r="C100" s="25">
        <v>14000486</v>
      </c>
      <c r="D100" s="25"/>
      <c r="E100" s="77">
        <v>9</v>
      </c>
      <c r="F100" s="78">
        <v>590552.05460436095</v>
      </c>
      <c r="G100" s="79">
        <v>6008295.4029919403</v>
      </c>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82">
        <v>44440</v>
      </c>
      <c r="B101" s="76"/>
      <c r="C101" s="25">
        <v>14000487</v>
      </c>
      <c r="D101" s="25"/>
      <c r="E101" s="77">
        <v>9</v>
      </c>
      <c r="F101" s="78">
        <v>590984.97036818205</v>
      </c>
      <c r="G101" s="79">
        <v>6008507.9976773001</v>
      </c>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25" t="s">
        <v>149</v>
      </c>
    </row>
    <row r="102" spans="1:42" x14ac:dyDescent="0.25">
      <c r="A102" s="82">
        <v>44440</v>
      </c>
      <c r="B102" s="76"/>
      <c r="C102" s="25">
        <v>14000492</v>
      </c>
      <c r="D102" s="25"/>
      <c r="E102" s="77">
        <v>9</v>
      </c>
      <c r="F102" s="78">
        <v>591945.68860384496</v>
      </c>
      <c r="G102" s="79">
        <v>6008758.0333737005</v>
      </c>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82">
        <v>44440</v>
      </c>
      <c r="B103" s="76"/>
      <c r="C103" s="25">
        <v>14000507</v>
      </c>
      <c r="D103" s="25"/>
      <c r="E103" s="77">
        <v>9</v>
      </c>
      <c r="F103" s="78">
        <v>593237.31496403599</v>
      </c>
      <c r="G103" s="79">
        <v>6009679.1759591997</v>
      </c>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82">
        <v>44440</v>
      </c>
      <c r="B104" s="76"/>
      <c r="C104" s="25">
        <v>14001125</v>
      </c>
      <c r="D104" s="25"/>
      <c r="E104" s="77">
        <v>9</v>
      </c>
      <c r="F104" s="78">
        <v>598080.77950833796</v>
      </c>
      <c r="G104" s="79">
        <v>6016791.0286150901</v>
      </c>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82">
        <v>44441</v>
      </c>
      <c r="B105" s="76"/>
      <c r="C105" s="25">
        <v>14001161</v>
      </c>
      <c r="D105" s="25"/>
      <c r="E105" s="77">
        <v>9</v>
      </c>
      <c r="F105" s="78">
        <v>605511.01920977596</v>
      </c>
      <c r="G105" s="79">
        <v>5992667.03867264</v>
      </c>
      <c r="H105" s="77" t="s">
        <v>203</v>
      </c>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82">
        <v>44441</v>
      </c>
      <c r="B106" s="76"/>
      <c r="C106" s="25">
        <v>14000576</v>
      </c>
      <c r="D106" s="25"/>
      <c r="E106" s="77">
        <v>9</v>
      </c>
      <c r="F106" s="78">
        <v>602436.93505388801</v>
      </c>
      <c r="G106" s="79">
        <v>5984669.0622109296</v>
      </c>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82">
        <v>44441</v>
      </c>
      <c r="B107" s="76"/>
      <c r="C107" s="25">
        <v>2021090250</v>
      </c>
      <c r="D107" s="25"/>
      <c r="E107" s="77">
        <v>9</v>
      </c>
      <c r="F107" s="78">
        <v>602775.80000000005</v>
      </c>
      <c r="G107" s="79">
        <v>5984983.3899999997</v>
      </c>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82">
        <v>44441</v>
      </c>
      <c r="B108" s="76"/>
      <c r="C108" s="25">
        <v>14000582</v>
      </c>
      <c r="D108" s="25"/>
      <c r="E108" s="77">
        <v>9</v>
      </c>
      <c r="F108" s="78">
        <v>601366.59</v>
      </c>
      <c r="G108" s="79">
        <v>5986579.6200000001</v>
      </c>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82">
        <v>44441</v>
      </c>
      <c r="B109" s="76"/>
      <c r="C109" s="25">
        <v>14001163</v>
      </c>
      <c r="D109" s="25"/>
      <c r="E109" s="77">
        <v>9</v>
      </c>
      <c r="F109" s="78">
        <v>603639.995218914</v>
      </c>
      <c r="G109" s="79">
        <v>5988349.0459813196</v>
      </c>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82">
        <v>44441</v>
      </c>
      <c r="B110" s="76"/>
      <c r="C110" s="25">
        <v>14001078</v>
      </c>
      <c r="D110" s="25"/>
      <c r="E110" s="77">
        <v>9</v>
      </c>
      <c r="F110" s="78">
        <v>605308.02552779904</v>
      </c>
      <c r="G110" s="79">
        <v>5987253.9612141196</v>
      </c>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82">
        <v>44441</v>
      </c>
      <c r="B111" s="76"/>
      <c r="C111" s="25">
        <v>14001080</v>
      </c>
      <c r="D111" s="25"/>
      <c r="E111" s="77">
        <v>9</v>
      </c>
      <c r="F111" s="78">
        <v>605496.69999999995</v>
      </c>
      <c r="G111" s="79">
        <v>5986869.8399999999</v>
      </c>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82">
        <v>44441</v>
      </c>
      <c r="B112" s="76"/>
      <c r="C112" s="25">
        <v>14001077</v>
      </c>
      <c r="D112" s="25"/>
      <c r="E112" s="77">
        <v>9</v>
      </c>
      <c r="F112" s="78">
        <v>605388.96580622694</v>
      </c>
      <c r="G112" s="79">
        <v>5986594.8985871496</v>
      </c>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ht="30" x14ac:dyDescent="0.25">
      <c r="A113" s="82">
        <v>44441</v>
      </c>
      <c r="B113" s="76"/>
      <c r="C113" s="25">
        <v>14000865</v>
      </c>
      <c r="D113" s="25"/>
      <c r="E113" s="77">
        <v>9</v>
      </c>
      <c r="F113" s="78">
        <v>606426.18000000005</v>
      </c>
      <c r="G113" s="79">
        <v>5986782</v>
      </c>
      <c r="H113" s="77" t="s">
        <v>202</v>
      </c>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82">
        <v>44441</v>
      </c>
      <c r="B114" s="76"/>
      <c r="C114" s="25">
        <v>14000535</v>
      </c>
      <c r="D114" s="25"/>
      <c r="E114" s="77">
        <v>9</v>
      </c>
      <c r="F114" s="78">
        <v>599263.69345729204</v>
      </c>
      <c r="G114" s="79">
        <v>5984698.5135204904</v>
      </c>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82">
        <v>44441</v>
      </c>
      <c r="B115" s="76"/>
      <c r="C115" s="25">
        <v>14000450</v>
      </c>
      <c r="D115" s="25"/>
      <c r="E115" s="77">
        <v>9</v>
      </c>
      <c r="F115" s="78">
        <v>599516.30397037102</v>
      </c>
      <c r="G115" s="79">
        <v>5985581.7478253497</v>
      </c>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82">
        <v>44441</v>
      </c>
      <c r="B116" s="76"/>
      <c r="C116" s="25">
        <v>2021090251</v>
      </c>
      <c r="D116" s="25"/>
      <c r="E116" s="77">
        <v>9</v>
      </c>
      <c r="F116" s="78">
        <v>599738.18999999994</v>
      </c>
      <c r="G116" s="79">
        <v>5986408.5300000003</v>
      </c>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82">
        <v>44441</v>
      </c>
      <c r="B117" s="76"/>
      <c r="C117" s="25">
        <v>14001052</v>
      </c>
      <c r="D117" s="25"/>
      <c r="E117" s="77">
        <v>9</v>
      </c>
      <c r="F117" s="78">
        <v>604443.07580964104</v>
      </c>
      <c r="G117" s="79">
        <v>5995222.0237760805</v>
      </c>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82">
        <v>44441</v>
      </c>
      <c r="B118" s="76"/>
      <c r="C118" s="25">
        <v>14000777</v>
      </c>
      <c r="D118" s="25"/>
      <c r="E118" s="77">
        <v>9</v>
      </c>
      <c r="F118" s="78">
        <v>605156.99553366599</v>
      </c>
      <c r="G118" s="79">
        <v>5994783.0245900601</v>
      </c>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82">
        <v>44441</v>
      </c>
      <c r="B119" s="76"/>
      <c r="C119" s="25">
        <v>14000779</v>
      </c>
      <c r="D119" s="25"/>
      <c r="E119" s="77">
        <v>9</v>
      </c>
      <c r="F119" s="78">
        <v>605675.02020517597</v>
      </c>
      <c r="G119" s="79">
        <v>5993744.0617828397</v>
      </c>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82">
        <v>44442</v>
      </c>
      <c r="B120" s="76"/>
      <c r="C120" s="25">
        <v>14000565</v>
      </c>
      <c r="D120" s="25"/>
      <c r="E120" s="77">
        <v>9</v>
      </c>
      <c r="F120" s="78">
        <v>608574.32766938803</v>
      </c>
      <c r="G120" s="79">
        <v>6022388.5130487699</v>
      </c>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82">
        <v>44442</v>
      </c>
      <c r="B121" s="76"/>
      <c r="C121" s="25">
        <v>14000562</v>
      </c>
      <c r="D121" s="25"/>
      <c r="E121" s="77">
        <v>9</v>
      </c>
      <c r="F121" s="78">
        <v>608138.08885820396</v>
      </c>
      <c r="G121" s="79">
        <v>6020911.1990954401</v>
      </c>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82">
        <v>44442</v>
      </c>
      <c r="B122" s="76"/>
      <c r="C122" s="25">
        <v>2021090350</v>
      </c>
      <c r="D122" s="25"/>
      <c r="E122" s="77">
        <v>9</v>
      </c>
      <c r="F122" s="78">
        <v>607585</v>
      </c>
      <c r="G122" s="79">
        <v>6016381</v>
      </c>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82">
        <v>44442</v>
      </c>
      <c r="B123" s="76"/>
      <c r="C123" s="25">
        <v>14000685</v>
      </c>
      <c r="D123" s="25"/>
      <c r="E123" s="77">
        <v>9</v>
      </c>
      <c r="F123" s="78">
        <v>607508.98882273003</v>
      </c>
      <c r="G123" s="79">
        <v>6013246.5823872602</v>
      </c>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82">
        <v>44442</v>
      </c>
      <c r="B124" s="76"/>
      <c r="C124" s="25">
        <v>14000669</v>
      </c>
      <c r="D124" s="25"/>
      <c r="E124" s="77">
        <v>9</v>
      </c>
      <c r="F124" s="78">
        <v>607690.18156595703</v>
      </c>
      <c r="G124" s="79">
        <v>6012188.7294756304</v>
      </c>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82">
        <v>44442</v>
      </c>
      <c r="B125" s="76"/>
      <c r="C125" s="25">
        <v>14000688</v>
      </c>
      <c r="D125" s="25"/>
      <c r="E125" s="77">
        <v>9</v>
      </c>
      <c r="F125" s="78">
        <v>614148.15799963695</v>
      </c>
      <c r="G125" s="79">
        <v>6008425.05042163</v>
      </c>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82">
        <v>44442</v>
      </c>
      <c r="B126" s="76"/>
      <c r="C126" s="25">
        <v>14000546</v>
      </c>
      <c r="D126" s="25"/>
      <c r="E126" s="77">
        <v>9</v>
      </c>
      <c r="F126" s="78">
        <v>614944.71696822403</v>
      </c>
      <c r="G126" s="79">
        <v>6010128.71519922</v>
      </c>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82">
        <v>44442</v>
      </c>
      <c r="B127" s="76"/>
      <c r="C127" s="25">
        <v>14001769</v>
      </c>
      <c r="D127" s="25"/>
      <c r="E127" s="77">
        <v>9</v>
      </c>
      <c r="F127" s="78">
        <v>614711.47513219598</v>
      </c>
      <c r="G127" s="79">
        <v>6009970.73163075</v>
      </c>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82">
        <v>44442</v>
      </c>
      <c r="B128" s="76"/>
      <c r="C128" s="25">
        <v>14001103</v>
      </c>
      <c r="D128" s="25"/>
      <c r="E128" s="77">
        <v>9</v>
      </c>
      <c r="F128" s="78">
        <v>614567.80629247101</v>
      </c>
      <c r="G128" s="79">
        <v>6008395.5946821701</v>
      </c>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82">
        <v>44442</v>
      </c>
      <c r="B129" s="76"/>
      <c r="C129" s="25">
        <v>14001175</v>
      </c>
      <c r="D129" s="25"/>
      <c r="E129" s="77">
        <v>9</v>
      </c>
      <c r="F129" s="78">
        <v>620580.19743972702</v>
      </c>
      <c r="G129" s="79">
        <v>6010857.3264285196</v>
      </c>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82">
        <v>44442</v>
      </c>
      <c r="B130" s="76"/>
      <c r="C130" s="25">
        <v>14000677</v>
      </c>
      <c r="D130" s="25"/>
      <c r="E130" s="77">
        <v>9</v>
      </c>
      <c r="F130" s="78">
        <v>619787.88643350801</v>
      </c>
      <c r="G130" s="79">
        <v>6008368.7305199299</v>
      </c>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82">
        <v>44442</v>
      </c>
      <c r="B131" s="76"/>
      <c r="C131" s="25">
        <v>14000697</v>
      </c>
      <c r="D131" s="25"/>
      <c r="E131" s="77">
        <v>9</v>
      </c>
      <c r="F131" s="78">
        <v>620771.27725193603</v>
      </c>
      <c r="G131" s="79">
        <v>6007645.3806063896</v>
      </c>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82">
        <v>44442</v>
      </c>
      <c r="B132" s="76"/>
      <c r="C132" s="25">
        <v>14000692</v>
      </c>
      <c r="D132" s="25"/>
      <c r="E132" s="77">
        <v>9</v>
      </c>
      <c r="F132" s="78">
        <v>625143.84044260997</v>
      </c>
      <c r="G132" s="79">
        <v>6007956.0146198999</v>
      </c>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82">
        <v>44442</v>
      </c>
      <c r="B133" s="76"/>
      <c r="C133" s="25">
        <v>14000683</v>
      </c>
      <c r="D133" s="25"/>
      <c r="E133" s="77">
        <v>9</v>
      </c>
      <c r="F133" s="78">
        <v>627065.03460670402</v>
      </c>
      <c r="G133" s="79">
        <v>6008379.6978764599</v>
      </c>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82">
        <v>44442</v>
      </c>
      <c r="B134" s="76"/>
      <c r="C134" s="25">
        <v>2021090351</v>
      </c>
      <c r="D134" s="25"/>
      <c r="E134" s="77">
        <v>9</v>
      </c>
      <c r="F134" s="78">
        <v>628700</v>
      </c>
      <c r="G134" s="79">
        <v>6009766</v>
      </c>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82">
        <v>44442</v>
      </c>
      <c r="B135" s="76"/>
      <c r="C135" s="25">
        <v>2021090351</v>
      </c>
      <c r="D135" s="25"/>
      <c r="E135" s="77">
        <v>9</v>
      </c>
      <c r="F135" s="78">
        <v>673235</v>
      </c>
      <c r="G135" s="79">
        <v>6043218</v>
      </c>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82">
        <v>44444</v>
      </c>
      <c r="B136" s="76"/>
      <c r="C136" s="25">
        <v>1801166</v>
      </c>
      <c r="D136" s="25"/>
      <c r="E136" s="77">
        <v>9</v>
      </c>
      <c r="F136" s="78">
        <v>675438.94586710003</v>
      </c>
      <c r="G136" s="79">
        <v>6044630.0762584703</v>
      </c>
      <c r="H136" s="77" t="s">
        <v>164</v>
      </c>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82">
        <v>44444</v>
      </c>
      <c r="B137" s="76"/>
      <c r="C137" s="25">
        <v>1801165</v>
      </c>
      <c r="D137" s="25"/>
      <c r="E137" s="77">
        <v>9</v>
      </c>
      <c r="F137" s="78">
        <v>675402.00719341403</v>
      </c>
      <c r="G137" s="79">
        <v>6044908.99698254</v>
      </c>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82">
        <v>44445</v>
      </c>
      <c r="B138" s="76"/>
      <c r="C138" s="25">
        <v>14000395</v>
      </c>
      <c r="D138" s="25"/>
      <c r="E138" s="77">
        <v>9</v>
      </c>
      <c r="F138" s="78">
        <v>605863.80350813502</v>
      </c>
      <c r="G138" s="79">
        <v>6023574.4645500705</v>
      </c>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82">
        <v>44445</v>
      </c>
      <c r="B139" s="76"/>
      <c r="C139" s="25">
        <v>14000994</v>
      </c>
      <c r="D139" s="25"/>
      <c r="E139" s="77">
        <v>9</v>
      </c>
      <c r="F139" s="78">
        <v>603814.98225983698</v>
      </c>
      <c r="G139" s="79">
        <v>6009561.9580067201</v>
      </c>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82">
        <v>44445</v>
      </c>
      <c r="B140" s="76"/>
      <c r="C140" s="25">
        <v>14000398</v>
      </c>
      <c r="D140" s="25"/>
      <c r="E140" s="77">
        <v>9</v>
      </c>
      <c r="F140" s="78">
        <v>605436.99625665101</v>
      </c>
      <c r="G140" s="79">
        <v>6021867.2665416198</v>
      </c>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82">
        <v>44445</v>
      </c>
      <c r="B141" s="76"/>
      <c r="C141" s="25">
        <v>14000377</v>
      </c>
      <c r="D141" s="25"/>
      <c r="E141" s="77">
        <v>9</v>
      </c>
      <c r="F141" s="78">
        <v>606924.06753836304</v>
      </c>
      <c r="G141" s="79">
        <v>6020704.0112595903</v>
      </c>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82">
        <v>44445</v>
      </c>
      <c r="B142" s="76"/>
      <c r="C142" s="25">
        <v>14000375</v>
      </c>
      <c r="D142" s="25"/>
      <c r="E142" s="77">
        <v>9</v>
      </c>
      <c r="F142" s="78">
        <v>605796.55485811306</v>
      </c>
      <c r="G142" s="79">
        <v>6016996.6893096296</v>
      </c>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82">
        <v>44445</v>
      </c>
      <c r="B143" s="76"/>
      <c r="C143" s="25">
        <v>14000382</v>
      </c>
      <c r="D143" s="25"/>
      <c r="E143" s="77">
        <v>9</v>
      </c>
      <c r="F143" s="78">
        <v>604924.01018593996</v>
      </c>
      <c r="G143" s="79">
        <v>6014325.4610070102</v>
      </c>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82">
        <v>44445</v>
      </c>
      <c r="B144" s="76"/>
      <c r="C144" s="25">
        <v>14000379</v>
      </c>
      <c r="D144" s="25"/>
      <c r="E144" s="77">
        <v>9</v>
      </c>
      <c r="F144" s="78">
        <v>604834.913222217</v>
      </c>
      <c r="G144" s="79">
        <v>6012765.8831543298</v>
      </c>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ht="30" x14ac:dyDescent="0.25">
      <c r="A145" s="117">
        <v>44447</v>
      </c>
      <c r="B145" s="76"/>
      <c r="C145" s="25">
        <v>14000882</v>
      </c>
      <c r="D145" s="25"/>
      <c r="E145" s="77">
        <v>9</v>
      </c>
      <c r="F145" s="78">
        <v>607215.93883728306</v>
      </c>
      <c r="G145" s="79">
        <v>5997193.9998050099</v>
      </c>
      <c r="H145" s="77" t="s">
        <v>141</v>
      </c>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v>44451</v>
      </c>
      <c r="B146" s="76"/>
      <c r="C146" s="25">
        <v>1802760</v>
      </c>
      <c r="D146" s="25"/>
      <c r="E146" s="77">
        <v>9</v>
      </c>
      <c r="F146" s="78">
        <v>640551.18677593698</v>
      </c>
      <c r="G146" s="79">
        <v>6053250.4737340296</v>
      </c>
      <c r="H146" s="77" t="s">
        <v>150</v>
      </c>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v>44451</v>
      </c>
      <c r="B147" s="76"/>
      <c r="C147" s="25">
        <v>1805553</v>
      </c>
      <c r="D147" s="25"/>
      <c r="E147" s="77">
        <v>9</v>
      </c>
      <c r="F147" s="78">
        <v>611695.83970857004</v>
      </c>
      <c r="G147" s="79">
        <v>6082109.1016183002</v>
      </c>
      <c r="H147" s="77" t="s">
        <v>151</v>
      </c>
      <c r="I147" s="77" t="s">
        <v>152</v>
      </c>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116"/>
      <c r="AO147" s="114"/>
      <c r="AP147" s="25"/>
    </row>
    <row r="148" spans="1:42" x14ac:dyDescent="0.25">
      <c r="A148" s="82">
        <v>44453</v>
      </c>
      <c r="B148" s="76"/>
      <c r="C148" s="25">
        <v>24704568</v>
      </c>
      <c r="D148" s="25" t="s">
        <v>204</v>
      </c>
      <c r="E148" s="77">
        <v>9</v>
      </c>
      <c r="F148" s="78">
        <v>605738.68243469996</v>
      </c>
      <c r="G148" s="79">
        <v>6096763.1696220497</v>
      </c>
      <c r="H148" s="77" t="s">
        <v>153</v>
      </c>
      <c r="I148" s="77" t="s">
        <v>154</v>
      </c>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116"/>
      <c r="AO148" s="114"/>
      <c r="AP148" s="25"/>
    </row>
    <row r="149" spans="1:42" ht="30" x14ac:dyDescent="0.25">
      <c r="A149" s="82">
        <v>44453</v>
      </c>
      <c r="B149" s="76"/>
      <c r="C149" s="25">
        <v>1805573</v>
      </c>
      <c r="D149" s="25"/>
      <c r="E149" s="77">
        <v>9</v>
      </c>
      <c r="F149" s="78">
        <v>610392.940857657</v>
      </c>
      <c r="G149" s="79">
        <v>6084972.5596693195</v>
      </c>
      <c r="H149" s="77" t="s">
        <v>155</v>
      </c>
      <c r="I149" s="77" t="s">
        <v>156</v>
      </c>
      <c r="J149" s="80"/>
      <c r="K149" s="77"/>
      <c r="L149" s="25" t="s">
        <v>120</v>
      </c>
      <c r="M149" s="25" t="s">
        <v>121</v>
      </c>
      <c r="N149" s="122"/>
      <c r="O149" s="122"/>
      <c r="P149" s="121"/>
      <c r="Q149" s="122"/>
      <c r="R149" s="121"/>
      <c r="S149" s="121"/>
      <c r="T149" s="122"/>
      <c r="U149" s="122"/>
      <c r="V149" s="121"/>
      <c r="W149" s="122"/>
      <c r="X149" s="121"/>
      <c r="Y149" s="122"/>
      <c r="Z149" s="122"/>
      <c r="AA149" s="121"/>
      <c r="AB149" s="25"/>
      <c r="AC149" s="25"/>
      <c r="AD149" s="121"/>
      <c r="AE149" s="121"/>
      <c r="AF149" s="22">
        <f t="shared" si="25"/>
        <v>0</v>
      </c>
      <c r="AG149" s="15">
        <f t="shared" si="18"/>
        <v>0</v>
      </c>
      <c r="AH149" s="7">
        <f t="shared" si="19"/>
        <v>0</v>
      </c>
      <c r="AI149" s="7">
        <f t="shared" si="20"/>
        <v>0</v>
      </c>
      <c r="AJ149" s="7">
        <f t="shared" si="21"/>
        <v>0</v>
      </c>
      <c r="AK149" s="12">
        <f t="shared" si="22"/>
        <v>0</v>
      </c>
      <c r="AL149" s="14">
        <f t="shared" si="24"/>
        <v>0</v>
      </c>
      <c r="AM149" s="16" t="str">
        <f t="shared" si="23"/>
        <v>Unknown</v>
      </c>
      <c r="AN149" s="116"/>
      <c r="AO149" s="114"/>
      <c r="AP149" s="25" t="s">
        <v>157</v>
      </c>
    </row>
    <row r="150" spans="1:42" x14ac:dyDescent="0.25">
      <c r="A150" s="82">
        <v>44454</v>
      </c>
      <c r="B150" s="76"/>
      <c r="C150" s="25">
        <v>1805549</v>
      </c>
      <c r="D150" s="25" t="s">
        <v>148</v>
      </c>
      <c r="E150" s="77">
        <v>9</v>
      </c>
      <c r="F150" s="78">
        <v>611345.12838114204</v>
      </c>
      <c r="G150" s="79">
        <v>6083669.2866113903</v>
      </c>
      <c r="H150" s="77" t="s">
        <v>158</v>
      </c>
      <c r="I150" s="77" t="s">
        <v>94</v>
      </c>
      <c r="J150" s="80"/>
      <c r="K150" s="77" t="s">
        <v>95</v>
      </c>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116"/>
      <c r="AO150" s="114"/>
      <c r="AP150" s="25"/>
    </row>
    <row r="151" spans="1:42" ht="30" x14ac:dyDescent="0.25">
      <c r="A151" s="82">
        <v>44455</v>
      </c>
      <c r="B151" s="76"/>
      <c r="C151" s="25">
        <v>2021091650</v>
      </c>
      <c r="D151" s="25" t="s">
        <v>148</v>
      </c>
      <c r="E151" s="77">
        <v>9</v>
      </c>
      <c r="F151" s="78">
        <v>589659</v>
      </c>
      <c r="G151" s="79">
        <v>6123249</v>
      </c>
      <c r="H151" s="77" t="s">
        <v>159</v>
      </c>
      <c r="I151" s="77"/>
      <c r="J151" s="80"/>
      <c r="K151" s="77"/>
      <c r="L151" s="25" t="s">
        <v>96</v>
      </c>
      <c r="M151" s="25" t="s">
        <v>97</v>
      </c>
      <c r="N151" s="114">
        <v>6</v>
      </c>
      <c r="O151" s="114">
        <v>4</v>
      </c>
      <c r="P151" s="121"/>
      <c r="Q151" s="122"/>
      <c r="R151" s="121"/>
      <c r="S151" s="121"/>
      <c r="T151" s="122"/>
      <c r="U151" s="122"/>
      <c r="V151" s="121"/>
      <c r="W151" s="122"/>
      <c r="X151" s="121"/>
      <c r="Y151" s="122"/>
      <c r="Z151" s="122"/>
      <c r="AA151" s="121"/>
      <c r="AB151" s="25"/>
      <c r="AC151" s="25"/>
      <c r="AD151" s="121"/>
      <c r="AE151" s="121"/>
      <c r="AF151" s="22">
        <f t="shared" si="25"/>
        <v>0</v>
      </c>
      <c r="AG151" s="15">
        <f t="shared" si="18"/>
        <v>0</v>
      </c>
      <c r="AH151" s="7">
        <f t="shared" si="19"/>
        <v>0</v>
      </c>
      <c r="AI151" s="7">
        <f t="shared" si="20"/>
        <v>0</v>
      </c>
      <c r="AJ151" s="7">
        <f t="shared" si="21"/>
        <v>0</v>
      </c>
      <c r="AK151" s="12">
        <f t="shared" si="22"/>
        <v>0</v>
      </c>
      <c r="AL151" s="14">
        <f t="shared" si="24"/>
        <v>0</v>
      </c>
      <c r="AM151" s="16" t="str">
        <f t="shared" si="23"/>
        <v>Passable</v>
      </c>
      <c r="AN151" s="121"/>
      <c r="AO151" s="122"/>
      <c r="AP151" s="25"/>
    </row>
    <row r="152" spans="1:42" x14ac:dyDescent="0.25">
      <c r="A152" s="117">
        <v>44455</v>
      </c>
      <c r="B152" s="76"/>
      <c r="C152" s="25">
        <v>1801773</v>
      </c>
      <c r="D152" s="25" t="s">
        <v>160</v>
      </c>
      <c r="E152" s="77">
        <v>9</v>
      </c>
      <c r="F152" s="78">
        <v>603432.06718665105</v>
      </c>
      <c r="G152" s="79">
        <v>6107843.9834960802</v>
      </c>
      <c r="H152" s="77" t="s">
        <v>161</v>
      </c>
      <c r="I152" s="77" t="s">
        <v>162</v>
      </c>
      <c r="J152" s="80"/>
      <c r="K152" s="77"/>
      <c r="L152" s="25" t="s">
        <v>120</v>
      </c>
      <c r="M152" s="25" t="s">
        <v>121</v>
      </c>
      <c r="N152" s="122"/>
      <c r="O152" s="122"/>
      <c r="P152" s="121"/>
      <c r="Q152" s="122"/>
      <c r="R152" s="121"/>
      <c r="S152" s="121"/>
      <c r="T152" s="122"/>
      <c r="U152" s="122"/>
      <c r="V152" s="121"/>
      <c r="W152" s="122"/>
      <c r="X152" s="121"/>
      <c r="Y152" s="122"/>
      <c r="Z152" s="122"/>
      <c r="AA152" s="121"/>
      <c r="AB152" s="25"/>
      <c r="AC152" s="25"/>
      <c r="AD152" s="121"/>
      <c r="AE152" s="121"/>
      <c r="AF152" s="22">
        <f t="shared" si="25"/>
        <v>0</v>
      </c>
      <c r="AG152" s="15">
        <f t="shared" si="18"/>
        <v>0</v>
      </c>
      <c r="AH152" s="7">
        <f t="shared" si="19"/>
        <v>0</v>
      </c>
      <c r="AI152" s="7">
        <f t="shared" si="20"/>
        <v>0</v>
      </c>
      <c r="AJ152" s="7">
        <f t="shared" si="21"/>
        <v>0</v>
      </c>
      <c r="AK152" s="12">
        <f t="shared" si="22"/>
        <v>0</v>
      </c>
      <c r="AL152" s="14">
        <f t="shared" si="24"/>
        <v>0</v>
      </c>
      <c r="AM152" s="16" t="str">
        <f t="shared" si="23"/>
        <v>Unknown</v>
      </c>
      <c r="AN152" s="116"/>
      <c r="AO152" s="114"/>
      <c r="AP152" s="25" t="s">
        <v>163</v>
      </c>
    </row>
    <row r="153" spans="1:42" x14ac:dyDescent="0.25">
      <c r="A153" s="82">
        <v>44444</v>
      </c>
      <c r="B153" s="76"/>
      <c r="C153" s="25">
        <v>1800048</v>
      </c>
      <c r="D153" s="25" t="s">
        <v>92</v>
      </c>
      <c r="E153" s="77">
        <v>9</v>
      </c>
      <c r="F153" s="78">
        <v>674397.136056341</v>
      </c>
      <c r="G153" s="79">
        <v>6043432.5314838402</v>
      </c>
      <c r="H153" s="77" t="s">
        <v>164</v>
      </c>
      <c r="I153" s="77" t="s">
        <v>170</v>
      </c>
      <c r="J153" s="80"/>
      <c r="K153" s="77" t="s">
        <v>166</v>
      </c>
      <c r="L153" s="25" t="s">
        <v>100</v>
      </c>
      <c r="M153" s="25" t="s">
        <v>101</v>
      </c>
      <c r="N153" s="114">
        <v>2.5</v>
      </c>
      <c r="O153" s="114">
        <v>25.13</v>
      </c>
      <c r="P153" s="116" t="s">
        <v>102</v>
      </c>
      <c r="Q153" s="122"/>
      <c r="R153" s="116" t="s">
        <v>102</v>
      </c>
      <c r="S153" s="116" t="s">
        <v>106</v>
      </c>
      <c r="T153" s="114">
        <v>30</v>
      </c>
      <c r="U153" s="114">
        <v>1</v>
      </c>
      <c r="V153" s="116">
        <v>0</v>
      </c>
      <c r="W153" s="114">
        <v>0.09</v>
      </c>
      <c r="X153" s="116" t="s">
        <v>106</v>
      </c>
      <c r="Y153" s="114">
        <v>1.52</v>
      </c>
      <c r="Z153" s="114">
        <v>5.48</v>
      </c>
      <c r="AA153" s="116">
        <v>3.5</v>
      </c>
      <c r="AB153" s="25" t="s">
        <v>102</v>
      </c>
      <c r="AC153" s="25" t="s">
        <v>106</v>
      </c>
      <c r="AD153" s="116" t="s">
        <v>103</v>
      </c>
      <c r="AE153" s="116" t="s">
        <v>167</v>
      </c>
      <c r="AF153" s="22">
        <f t="shared" si="25"/>
        <v>2.1920000000000002</v>
      </c>
      <c r="AG153" s="15">
        <f t="shared" si="18"/>
        <v>3</v>
      </c>
      <c r="AH153" s="7">
        <f t="shared" si="19"/>
        <v>10</v>
      </c>
      <c r="AI153" s="7">
        <f t="shared" si="20"/>
        <v>0</v>
      </c>
      <c r="AJ153" s="7">
        <f t="shared" si="21"/>
        <v>5</v>
      </c>
      <c r="AK153" s="12">
        <f t="shared" si="22"/>
        <v>6</v>
      </c>
      <c r="AL153" s="14">
        <f t="shared" si="24"/>
        <v>24</v>
      </c>
      <c r="AM153" s="16" t="str">
        <f t="shared" si="23"/>
        <v>Barrier</v>
      </c>
      <c r="AN153" s="116"/>
      <c r="AO153" s="114"/>
      <c r="AP153" s="25" t="s">
        <v>171</v>
      </c>
    </row>
    <row r="154" spans="1:42" x14ac:dyDescent="0.25">
      <c r="A154" s="117">
        <v>44444</v>
      </c>
      <c r="B154" s="76"/>
      <c r="C154" s="25">
        <v>1800193</v>
      </c>
      <c r="D154" s="25" t="s">
        <v>92</v>
      </c>
      <c r="E154" s="77">
        <v>9</v>
      </c>
      <c r="F154" s="78">
        <v>674875.41850711498</v>
      </c>
      <c r="G154" s="79">
        <v>6043782.0355301201</v>
      </c>
      <c r="H154" s="77" t="s">
        <v>164</v>
      </c>
      <c r="I154" s="77" t="s">
        <v>165</v>
      </c>
      <c r="J154" s="80"/>
      <c r="K154" s="77" t="s">
        <v>166</v>
      </c>
      <c r="L154" s="25" t="s">
        <v>100</v>
      </c>
      <c r="M154" s="25" t="s">
        <v>101</v>
      </c>
      <c r="N154" s="114">
        <v>3.7</v>
      </c>
      <c r="O154" s="114">
        <v>20.89</v>
      </c>
      <c r="P154" s="116" t="s">
        <v>102</v>
      </c>
      <c r="Q154" s="122"/>
      <c r="R154" s="116" t="s">
        <v>102</v>
      </c>
      <c r="S154" s="116" t="s">
        <v>102</v>
      </c>
      <c r="T154" s="122"/>
      <c r="U154" s="114">
        <v>1</v>
      </c>
      <c r="V154" s="116">
        <v>0.5</v>
      </c>
      <c r="W154" s="114">
        <v>0.25</v>
      </c>
      <c r="X154" s="116" t="s">
        <v>102</v>
      </c>
      <c r="Y154" s="114">
        <v>1.46</v>
      </c>
      <c r="Z154" s="114">
        <v>4.9000000000000004</v>
      </c>
      <c r="AA154" s="116">
        <v>2.83</v>
      </c>
      <c r="AB154" s="25" t="s">
        <v>102</v>
      </c>
      <c r="AC154" s="25" t="s">
        <v>106</v>
      </c>
      <c r="AD154" s="116" t="s">
        <v>103</v>
      </c>
      <c r="AE154" s="116" t="s">
        <v>167</v>
      </c>
      <c r="AF154" s="22">
        <f t="shared" si="25"/>
        <v>1.3243243243243243</v>
      </c>
      <c r="AG154" s="15">
        <f t="shared" si="18"/>
        <v>3</v>
      </c>
      <c r="AH154" s="7">
        <f t="shared" si="19"/>
        <v>10</v>
      </c>
      <c r="AI154" s="7">
        <f t="shared" si="20"/>
        <v>10</v>
      </c>
      <c r="AJ154" s="7">
        <f t="shared" si="21"/>
        <v>5</v>
      </c>
      <c r="AK154" s="12">
        <f t="shared" si="22"/>
        <v>6</v>
      </c>
      <c r="AL154" s="14">
        <f t="shared" si="24"/>
        <v>34</v>
      </c>
      <c r="AM154" s="16" t="str">
        <f t="shared" si="23"/>
        <v>Barrier</v>
      </c>
      <c r="AN154" s="116"/>
      <c r="AO154" s="114"/>
      <c r="AP154" s="25" t="s">
        <v>168</v>
      </c>
    </row>
    <row r="155" spans="1:42" ht="30" x14ac:dyDescent="0.25">
      <c r="A155" s="82">
        <v>44445</v>
      </c>
      <c r="B155" s="76"/>
      <c r="C155" s="25">
        <v>14000394</v>
      </c>
      <c r="D155" s="25" t="s">
        <v>92</v>
      </c>
      <c r="E155" s="77">
        <v>9</v>
      </c>
      <c r="F155" s="78">
        <v>604924.24307021999</v>
      </c>
      <c r="G155" s="79">
        <v>6012911.8518746197</v>
      </c>
      <c r="H155" s="77" t="s">
        <v>173</v>
      </c>
      <c r="I155" s="77" t="s">
        <v>174</v>
      </c>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116"/>
      <c r="AO155" s="114"/>
      <c r="AP155" s="25" t="s">
        <v>172</v>
      </c>
    </row>
    <row r="156" spans="1:42" ht="30" x14ac:dyDescent="0.25">
      <c r="A156" s="82">
        <v>44445</v>
      </c>
      <c r="B156" s="76"/>
      <c r="C156" s="25">
        <v>14001409</v>
      </c>
      <c r="D156" s="25" t="s">
        <v>92</v>
      </c>
      <c r="E156" s="77">
        <v>9</v>
      </c>
      <c r="F156" s="78">
        <v>604621.57444118604</v>
      </c>
      <c r="G156" s="79">
        <v>6012795.8956458904</v>
      </c>
      <c r="H156" s="77" t="s">
        <v>173</v>
      </c>
      <c r="I156" s="77" t="s">
        <v>135</v>
      </c>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116"/>
      <c r="AO156" s="114"/>
      <c r="AP156" s="25"/>
    </row>
    <row r="157" spans="1:42" ht="30" x14ac:dyDescent="0.25">
      <c r="A157" s="82">
        <v>44445</v>
      </c>
      <c r="B157" s="76"/>
      <c r="C157" s="25">
        <v>14001468</v>
      </c>
      <c r="D157" s="25" t="s">
        <v>92</v>
      </c>
      <c r="E157" s="77">
        <v>9</v>
      </c>
      <c r="F157" s="78">
        <v>604616.43508819095</v>
      </c>
      <c r="G157" s="79">
        <v>6010547.3698888402</v>
      </c>
      <c r="H157" s="77" t="s">
        <v>173</v>
      </c>
      <c r="I157" s="77" t="s">
        <v>135</v>
      </c>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116"/>
      <c r="AO157" s="114"/>
      <c r="AP157" s="25"/>
    </row>
    <row r="158" spans="1:42" ht="30" x14ac:dyDescent="0.25">
      <c r="A158" s="82">
        <v>44445</v>
      </c>
      <c r="B158" s="76"/>
      <c r="C158" s="25">
        <v>14000399</v>
      </c>
      <c r="D158" s="25" t="s">
        <v>92</v>
      </c>
      <c r="E158" s="77">
        <v>9</v>
      </c>
      <c r="F158" s="78">
        <v>604825.97556765098</v>
      </c>
      <c r="G158" s="79">
        <v>6022653.0137266098</v>
      </c>
      <c r="H158" s="77" t="s">
        <v>175</v>
      </c>
      <c r="I158" s="77" t="s">
        <v>174</v>
      </c>
      <c r="J158" s="80"/>
      <c r="K158" s="77"/>
      <c r="L158" s="25" t="s">
        <v>96</v>
      </c>
      <c r="M158" s="25" t="s">
        <v>97</v>
      </c>
      <c r="N158" s="114">
        <v>8</v>
      </c>
      <c r="O158" s="114">
        <v>5</v>
      </c>
      <c r="P158" s="121"/>
      <c r="Q158" s="122"/>
      <c r="R158" s="121"/>
      <c r="S158" s="121"/>
      <c r="T158" s="122"/>
      <c r="U158" s="122"/>
      <c r="V158" s="121"/>
      <c r="W158" s="122"/>
      <c r="X158" s="121"/>
      <c r="Y158" s="122"/>
      <c r="Z158" s="122"/>
      <c r="AA158" s="121"/>
      <c r="AB158" s="25"/>
      <c r="AC158" s="25"/>
      <c r="AD158" s="121"/>
      <c r="AE158" s="121"/>
      <c r="AF158" s="22">
        <f t="shared" si="25"/>
        <v>0</v>
      </c>
      <c r="AG158" s="15">
        <f t="shared" si="18"/>
        <v>0</v>
      </c>
      <c r="AH158" s="7">
        <f t="shared" si="19"/>
        <v>0</v>
      </c>
      <c r="AI158" s="7">
        <f t="shared" si="20"/>
        <v>0</v>
      </c>
      <c r="AJ158" s="7">
        <f t="shared" si="21"/>
        <v>0</v>
      </c>
      <c r="AK158" s="12">
        <f t="shared" si="22"/>
        <v>0</v>
      </c>
      <c r="AL158" s="14">
        <f t="shared" si="24"/>
        <v>0</v>
      </c>
      <c r="AM158" s="16" t="str">
        <f t="shared" si="23"/>
        <v>Passable</v>
      </c>
      <c r="AN158" s="121"/>
      <c r="AO158" s="122"/>
      <c r="AP158" s="25"/>
    </row>
    <row r="159" spans="1:42" x14ac:dyDescent="0.25">
      <c r="A159" s="82">
        <v>44445</v>
      </c>
      <c r="B159" s="76"/>
      <c r="C159" s="25">
        <v>14001432</v>
      </c>
      <c r="D159" s="25" t="s">
        <v>92</v>
      </c>
      <c r="E159" s="77">
        <v>9</v>
      </c>
      <c r="F159" s="78">
        <v>604342.45455377898</v>
      </c>
      <c r="G159" s="79">
        <v>6022071.60402642</v>
      </c>
      <c r="H159" s="77" t="s">
        <v>176</v>
      </c>
      <c r="I159" s="77" t="s">
        <v>174</v>
      </c>
      <c r="J159" s="80"/>
      <c r="K159" s="77"/>
      <c r="L159" s="25" t="s">
        <v>96</v>
      </c>
      <c r="M159" s="25" t="s">
        <v>97</v>
      </c>
      <c r="N159" s="114">
        <v>7</v>
      </c>
      <c r="O159" s="114">
        <v>2.5</v>
      </c>
      <c r="P159" s="121"/>
      <c r="Q159" s="122"/>
      <c r="R159" s="121"/>
      <c r="S159" s="121"/>
      <c r="T159" s="122"/>
      <c r="U159" s="122"/>
      <c r="V159" s="121"/>
      <c r="W159" s="122"/>
      <c r="X159" s="121"/>
      <c r="Y159" s="122"/>
      <c r="Z159" s="122"/>
      <c r="AA159" s="121"/>
      <c r="AB159" s="25"/>
      <c r="AC159" s="25"/>
      <c r="AD159" s="121"/>
      <c r="AE159" s="121"/>
      <c r="AF159" s="22">
        <f t="shared" si="25"/>
        <v>0</v>
      </c>
      <c r="AG159" s="15">
        <f t="shared" si="18"/>
        <v>0</v>
      </c>
      <c r="AH159" s="7">
        <f t="shared" si="19"/>
        <v>0</v>
      </c>
      <c r="AI159" s="7">
        <f t="shared" si="20"/>
        <v>0</v>
      </c>
      <c r="AJ159" s="7">
        <f t="shared" si="21"/>
        <v>0</v>
      </c>
      <c r="AK159" s="12">
        <f t="shared" si="22"/>
        <v>0</v>
      </c>
      <c r="AL159" s="14">
        <f t="shared" si="24"/>
        <v>0</v>
      </c>
      <c r="AM159" s="16" t="str">
        <f t="shared" si="23"/>
        <v>Passable</v>
      </c>
      <c r="AN159" s="121"/>
      <c r="AO159" s="122"/>
      <c r="AP159" s="25"/>
    </row>
    <row r="160" spans="1:42" ht="30" x14ac:dyDescent="0.25">
      <c r="A160" s="82">
        <v>44445</v>
      </c>
      <c r="B160" s="76"/>
      <c r="C160" s="25">
        <v>14000381</v>
      </c>
      <c r="D160" s="25" t="s">
        <v>177</v>
      </c>
      <c r="E160" s="77">
        <v>9</v>
      </c>
      <c r="F160" s="78">
        <v>606100.21105871699</v>
      </c>
      <c r="G160" s="79">
        <v>6017300.7417684104</v>
      </c>
      <c r="H160" s="77" t="s">
        <v>173</v>
      </c>
      <c r="I160" s="77" t="s">
        <v>174</v>
      </c>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116"/>
      <c r="AO160" s="114"/>
      <c r="AP160" s="25"/>
    </row>
    <row r="161" spans="1:42" ht="30" x14ac:dyDescent="0.25">
      <c r="A161" s="82">
        <v>44445</v>
      </c>
      <c r="B161" s="76"/>
      <c r="C161" s="25">
        <v>14000389</v>
      </c>
      <c r="D161" s="25" t="s">
        <v>177</v>
      </c>
      <c r="E161" s="77">
        <v>9</v>
      </c>
      <c r="F161" s="78">
        <v>604962.09326983301</v>
      </c>
      <c r="G161" s="79">
        <v>6015050.2430111598</v>
      </c>
      <c r="H161" s="77" t="s">
        <v>173</v>
      </c>
      <c r="I161" s="77" t="s">
        <v>174</v>
      </c>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116"/>
      <c r="AO161" s="114"/>
      <c r="AP161" s="25"/>
    </row>
    <row r="162" spans="1:42" ht="30" x14ac:dyDescent="0.25">
      <c r="A162" s="82">
        <v>44445</v>
      </c>
      <c r="B162" s="76"/>
      <c r="C162" s="25">
        <v>14000383</v>
      </c>
      <c r="D162" s="25" t="s">
        <v>178</v>
      </c>
      <c r="E162" s="77">
        <v>9</v>
      </c>
      <c r="F162" s="78">
        <v>605307.12482722499</v>
      </c>
      <c r="G162" s="79">
        <v>6023040.3860594099</v>
      </c>
      <c r="H162" s="77" t="s">
        <v>175</v>
      </c>
      <c r="I162" s="77" t="s">
        <v>174</v>
      </c>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116"/>
      <c r="AO162" s="114"/>
      <c r="AP162" s="25"/>
    </row>
    <row r="163" spans="1:42" ht="30" x14ac:dyDescent="0.25">
      <c r="A163" s="82">
        <v>44445</v>
      </c>
      <c r="B163" s="76"/>
      <c r="C163" s="25">
        <v>14000390</v>
      </c>
      <c r="D163" s="25" t="s">
        <v>177</v>
      </c>
      <c r="E163" s="77">
        <v>9</v>
      </c>
      <c r="F163" s="78">
        <v>605778.637934773</v>
      </c>
      <c r="G163" s="79">
        <v>6021673.3118073996</v>
      </c>
      <c r="H163" s="77" t="s">
        <v>175</v>
      </c>
      <c r="I163" s="77" t="s">
        <v>174</v>
      </c>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116"/>
      <c r="AO163" s="114"/>
      <c r="AP163" s="25"/>
    </row>
    <row r="164" spans="1:42" ht="30" x14ac:dyDescent="0.25">
      <c r="A164" s="82">
        <v>44445</v>
      </c>
      <c r="B164" s="76"/>
      <c r="C164" s="25">
        <v>14000392</v>
      </c>
      <c r="D164" s="25" t="s">
        <v>98</v>
      </c>
      <c r="E164" s="77">
        <v>9</v>
      </c>
      <c r="F164" s="78">
        <v>605753.55403273995</v>
      </c>
      <c r="G164" s="79">
        <v>6023617.86515697</v>
      </c>
      <c r="H164" s="77" t="s">
        <v>175</v>
      </c>
      <c r="I164" s="77" t="s">
        <v>174</v>
      </c>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116"/>
      <c r="AO164" s="114"/>
      <c r="AP164" s="25"/>
    </row>
    <row r="165" spans="1:42" ht="30" x14ac:dyDescent="0.25">
      <c r="A165" s="82">
        <v>44446</v>
      </c>
      <c r="B165" s="76"/>
      <c r="C165" s="25">
        <v>14000718</v>
      </c>
      <c r="D165" s="25" t="s">
        <v>92</v>
      </c>
      <c r="E165" s="77">
        <v>9</v>
      </c>
      <c r="F165" s="78">
        <v>643962</v>
      </c>
      <c r="G165" s="79">
        <v>6001978</v>
      </c>
      <c r="H165" s="77" t="s">
        <v>179</v>
      </c>
      <c r="I165" s="77" t="s">
        <v>180</v>
      </c>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116"/>
      <c r="AO165" s="114"/>
      <c r="AP165" s="25"/>
    </row>
    <row r="166" spans="1:42" x14ac:dyDescent="0.25">
      <c r="A166" s="82">
        <v>44446</v>
      </c>
      <c r="B166" s="76"/>
      <c r="C166" s="25">
        <v>14000013</v>
      </c>
      <c r="D166" s="25" t="s">
        <v>92</v>
      </c>
      <c r="E166" s="77">
        <v>9</v>
      </c>
      <c r="F166" s="78">
        <v>637564.054668381</v>
      </c>
      <c r="G166" s="79">
        <v>6007909.0462949304</v>
      </c>
      <c r="H166" s="77" t="s">
        <v>181</v>
      </c>
      <c r="I166" s="77" t="s">
        <v>182</v>
      </c>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116"/>
      <c r="AO166" s="114"/>
      <c r="AP166" s="25"/>
    </row>
    <row r="167" spans="1:42" ht="30" x14ac:dyDescent="0.25">
      <c r="A167" s="82">
        <v>44447</v>
      </c>
      <c r="B167" s="76"/>
      <c r="C167" s="25">
        <v>14000991</v>
      </c>
      <c r="D167" s="25" t="s">
        <v>92</v>
      </c>
      <c r="E167" s="77">
        <v>9</v>
      </c>
      <c r="F167" s="78">
        <v>623922.99208324496</v>
      </c>
      <c r="G167" s="79">
        <v>6005103.9063589098</v>
      </c>
      <c r="H167" s="77" t="s">
        <v>141</v>
      </c>
      <c r="I167" s="77" t="s">
        <v>182</v>
      </c>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116"/>
      <c r="AO167" s="114"/>
      <c r="AP167" s="25"/>
    </row>
    <row r="168" spans="1:42" x14ac:dyDescent="0.25">
      <c r="A168" s="82">
        <v>44447</v>
      </c>
      <c r="B168" s="76"/>
      <c r="C168" s="25">
        <v>14000764</v>
      </c>
      <c r="D168" s="25" t="s">
        <v>92</v>
      </c>
      <c r="E168" s="77">
        <v>9</v>
      </c>
      <c r="F168" s="78">
        <v>609752.960001281</v>
      </c>
      <c r="G168" s="79">
        <v>5992972.00627336</v>
      </c>
      <c r="H168" s="77" t="s">
        <v>183</v>
      </c>
      <c r="I168" s="77" t="s">
        <v>184</v>
      </c>
      <c r="J168" s="80"/>
      <c r="K168" s="77"/>
      <c r="L168" s="25" t="s">
        <v>96</v>
      </c>
      <c r="M168" s="25" t="s">
        <v>185</v>
      </c>
      <c r="N168" s="114">
        <v>17</v>
      </c>
      <c r="O168" s="114">
        <v>4.5</v>
      </c>
      <c r="P168" s="121"/>
      <c r="Q168" s="122"/>
      <c r="R168" s="121"/>
      <c r="S168" s="121"/>
      <c r="T168" s="122"/>
      <c r="U168" s="122"/>
      <c r="V168" s="121"/>
      <c r="W168" s="122"/>
      <c r="X168" s="121"/>
      <c r="Y168" s="122"/>
      <c r="Z168" s="122"/>
      <c r="AA168" s="121"/>
      <c r="AB168" s="25"/>
      <c r="AC168" s="25"/>
      <c r="AD168" s="121"/>
      <c r="AE168" s="121"/>
      <c r="AF168" s="22">
        <f t="shared" si="25"/>
        <v>0</v>
      </c>
      <c r="AG168" s="15">
        <f t="shared" si="18"/>
        <v>0</v>
      </c>
      <c r="AH168" s="7">
        <f t="shared" si="19"/>
        <v>0</v>
      </c>
      <c r="AI168" s="7">
        <f t="shared" si="20"/>
        <v>0</v>
      </c>
      <c r="AJ168" s="7">
        <f t="shared" si="21"/>
        <v>0</v>
      </c>
      <c r="AK168" s="12">
        <f t="shared" si="22"/>
        <v>0</v>
      </c>
      <c r="AL168" s="14">
        <f t="shared" si="24"/>
        <v>0</v>
      </c>
      <c r="AM168" s="16" t="str">
        <f t="shared" si="23"/>
        <v>Passable</v>
      </c>
      <c r="AN168" s="121"/>
      <c r="AO168" s="122"/>
      <c r="AP168" s="25"/>
    </row>
    <row r="169" spans="1:42" ht="30" x14ac:dyDescent="0.25">
      <c r="A169" s="82">
        <v>44447</v>
      </c>
      <c r="B169" s="76"/>
      <c r="C169" s="25">
        <v>14001094</v>
      </c>
      <c r="D169" s="25" t="s">
        <v>186</v>
      </c>
      <c r="E169" s="77">
        <v>9</v>
      </c>
      <c r="F169" s="78">
        <v>623368.99372882501</v>
      </c>
      <c r="G169" s="79">
        <v>6000282.9798788195</v>
      </c>
      <c r="H169" s="77" t="s">
        <v>187</v>
      </c>
      <c r="I169" s="77" t="s">
        <v>135</v>
      </c>
      <c r="J169" s="80"/>
      <c r="K169" s="77"/>
      <c r="L169" s="25" t="s">
        <v>100</v>
      </c>
      <c r="M169" s="25" t="s">
        <v>101</v>
      </c>
      <c r="N169" s="114">
        <v>1.6</v>
      </c>
      <c r="O169" s="114">
        <v>13.5</v>
      </c>
      <c r="P169" s="116" t="s">
        <v>102</v>
      </c>
      <c r="Q169" s="122"/>
      <c r="R169" s="116" t="s">
        <v>102</v>
      </c>
      <c r="S169" s="116" t="s">
        <v>102</v>
      </c>
      <c r="T169" s="122"/>
      <c r="U169" s="114">
        <v>1</v>
      </c>
      <c r="V169" s="116">
        <v>0.54</v>
      </c>
      <c r="W169" s="114">
        <v>0.6</v>
      </c>
      <c r="X169" s="116" t="s">
        <v>102</v>
      </c>
      <c r="Y169" s="114">
        <v>5</v>
      </c>
      <c r="Z169" s="114">
        <v>2.56</v>
      </c>
      <c r="AA169" s="116">
        <v>4.5</v>
      </c>
      <c r="AB169" s="25" t="s">
        <v>102</v>
      </c>
      <c r="AC169" s="25" t="s">
        <v>106</v>
      </c>
      <c r="AD169" s="116"/>
      <c r="AE169" s="116" t="s">
        <v>117</v>
      </c>
      <c r="AF169" s="22">
        <f t="shared" si="25"/>
        <v>1.5999999999999999</v>
      </c>
      <c r="AG169" s="15">
        <f t="shared" si="18"/>
        <v>0</v>
      </c>
      <c r="AH169" s="7">
        <f t="shared" si="19"/>
        <v>10</v>
      </c>
      <c r="AI169" s="7">
        <f t="shared" si="20"/>
        <v>10</v>
      </c>
      <c r="AJ169" s="7">
        <f t="shared" si="21"/>
        <v>10</v>
      </c>
      <c r="AK169" s="12">
        <f t="shared" si="22"/>
        <v>6</v>
      </c>
      <c r="AL169" s="14">
        <f t="shared" si="24"/>
        <v>36</v>
      </c>
      <c r="AM169" s="16" t="str">
        <f t="shared" si="23"/>
        <v>Barrier</v>
      </c>
      <c r="AN169" s="116"/>
      <c r="AO169" s="114"/>
      <c r="AP169" s="25" t="s">
        <v>188</v>
      </c>
    </row>
    <row r="170" spans="1:42" x14ac:dyDescent="0.25">
      <c r="A170" s="82">
        <v>44450</v>
      </c>
      <c r="B170" s="76"/>
      <c r="C170" s="25">
        <v>1800191</v>
      </c>
      <c r="D170" s="25" t="s">
        <v>92</v>
      </c>
      <c r="E170" s="77">
        <v>9</v>
      </c>
      <c r="F170" s="78">
        <v>680196.97860026301</v>
      </c>
      <c r="G170" s="79">
        <v>6041646.8603472197</v>
      </c>
      <c r="H170" s="77" t="s">
        <v>189</v>
      </c>
      <c r="I170" s="77" t="s">
        <v>190</v>
      </c>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116"/>
      <c r="AO170" s="114"/>
      <c r="AP170" s="25"/>
    </row>
    <row r="171" spans="1:42" x14ac:dyDescent="0.25">
      <c r="A171" s="82">
        <v>44451</v>
      </c>
      <c r="B171" s="76"/>
      <c r="C171" s="25">
        <v>1802488</v>
      </c>
      <c r="D171" s="25" t="s">
        <v>92</v>
      </c>
      <c r="E171" s="77">
        <v>9</v>
      </c>
      <c r="F171" s="78">
        <v>640243.91479294898</v>
      </c>
      <c r="G171" s="79">
        <v>6048061.0041042296</v>
      </c>
      <c r="H171" s="77" t="s">
        <v>191</v>
      </c>
      <c r="I171" s="77" t="s">
        <v>192</v>
      </c>
      <c r="J171" s="80"/>
      <c r="K171" s="77"/>
      <c r="L171" s="25" t="s">
        <v>100</v>
      </c>
      <c r="M171" s="25" t="s">
        <v>101</v>
      </c>
      <c r="N171" s="114">
        <v>1.3</v>
      </c>
      <c r="O171" s="114">
        <v>5.5</v>
      </c>
      <c r="P171" s="116" t="s">
        <v>102</v>
      </c>
      <c r="Q171" s="122"/>
      <c r="R171" s="116" t="s">
        <v>102</v>
      </c>
      <c r="S171" s="116" t="s">
        <v>106</v>
      </c>
      <c r="T171" s="114">
        <v>95</v>
      </c>
      <c r="U171" s="114">
        <v>0.2</v>
      </c>
      <c r="V171" s="116">
        <v>0</v>
      </c>
      <c r="W171" s="114">
        <v>0.1</v>
      </c>
      <c r="X171" s="116" t="s">
        <v>102</v>
      </c>
      <c r="Y171" s="114">
        <v>0.45</v>
      </c>
      <c r="Z171" s="114">
        <v>2.77</v>
      </c>
      <c r="AA171" s="116">
        <v>0.5</v>
      </c>
      <c r="AB171" s="25" t="s">
        <v>102</v>
      </c>
      <c r="AC171" s="25" t="s">
        <v>106</v>
      </c>
      <c r="AD171" s="116" t="s">
        <v>103</v>
      </c>
      <c r="AE171" s="116" t="s">
        <v>167</v>
      </c>
      <c r="AF171" s="22">
        <f t="shared" si="25"/>
        <v>2.1307692307692307</v>
      </c>
      <c r="AG171" s="15">
        <f t="shared" si="18"/>
        <v>0</v>
      </c>
      <c r="AH171" s="7">
        <f t="shared" si="19"/>
        <v>10</v>
      </c>
      <c r="AI171" s="7">
        <f t="shared" si="20"/>
        <v>0</v>
      </c>
      <c r="AJ171" s="7">
        <f t="shared" si="21"/>
        <v>0</v>
      </c>
      <c r="AK171" s="12">
        <f t="shared" si="22"/>
        <v>6</v>
      </c>
      <c r="AL171" s="14">
        <f t="shared" si="24"/>
        <v>16</v>
      </c>
      <c r="AM171" s="16" t="str">
        <f t="shared" si="23"/>
        <v>Potential</v>
      </c>
      <c r="AN171" s="116"/>
      <c r="AO171" s="114"/>
      <c r="AP171" s="25" t="s">
        <v>193</v>
      </c>
    </row>
    <row r="172" spans="1:42" x14ac:dyDescent="0.25">
      <c r="A172" s="82">
        <v>44417</v>
      </c>
      <c r="B172" s="76"/>
      <c r="C172" s="25">
        <v>14000804</v>
      </c>
      <c r="D172" s="25" t="s">
        <v>194</v>
      </c>
      <c r="E172" s="77">
        <v>9</v>
      </c>
      <c r="F172" s="78">
        <v>620202.02369913901</v>
      </c>
      <c r="G172" s="79">
        <v>5998472.0222686501</v>
      </c>
      <c r="H172" s="77"/>
      <c r="I172" s="77" t="s">
        <v>195</v>
      </c>
      <c r="J172" s="80">
        <v>55</v>
      </c>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116"/>
      <c r="AO172" s="114"/>
      <c r="AP172" s="25"/>
    </row>
    <row r="173" spans="1:42" x14ac:dyDescent="0.25">
      <c r="A173" s="82">
        <v>44417</v>
      </c>
      <c r="B173" s="76"/>
      <c r="C173" s="25">
        <v>14000815</v>
      </c>
      <c r="D173" s="25" t="s">
        <v>194</v>
      </c>
      <c r="E173" s="77">
        <v>9</v>
      </c>
      <c r="F173" s="78">
        <v>619988.96838617499</v>
      </c>
      <c r="G173" s="79">
        <v>5998258.9612107696</v>
      </c>
      <c r="H173" s="77"/>
      <c r="I173" s="77" t="s">
        <v>195</v>
      </c>
      <c r="J173" s="80">
        <v>55</v>
      </c>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v>44417</v>
      </c>
      <c r="B174" s="76"/>
      <c r="C174" s="25">
        <v>14000820</v>
      </c>
      <c r="D174" s="25" t="s">
        <v>194</v>
      </c>
      <c r="E174" s="77">
        <v>9</v>
      </c>
      <c r="F174" s="78">
        <v>617036.97720232396</v>
      </c>
      <c r="G174" s="79">
        <v>5997094.98725254</v>
      </c>
      <c r="H174" s="77"/>
      <c r="I174" s="77" t="s">
        <v>195</v>
      </c>
      <c r="J174" s="80">
        <v>59</v>
      </c>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v>44417</v>
      </c>
      <c r="B175" s="76"/>
      <c r="C175" s="25">
        <v>14000217</v>
      </c>
      <c r="D175" s="25" t="s">
        <v>194</v>
      </c>
      <c r="E175" s="77">
        <v>9</v>
      </c>
      <c r="F175" s="78">
        <v>617051.01810414903</v>
      </c>
      <c r="G175" s="79">
        <v>5997021.0092293704</v>
      </c>
      <c r="H175" s="77"/>
      <c r="I175" s="77" t="s">
        <v>195</v>
      </c>
      <c r="J175" s="80">
        <v>59</v>
      </c>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v>44417</v>
      </c>
      <c r="B176" s="76"/>
      <c r="C176" s="25">
        <v>14000256</v>
      </c>
      <c r="D176" s="25" t="s">
        <v>194</v>
      </c>
      <c r="E176" s="77">
        <v>9</v>
      </c>
      <c r="F176" s="78">
        <v>616234.07628573605</v>
      </c>
      <c r="G176" s="79">
        <v>5998375.9995145397</v>
      </c>
      <c r="H176" s="77"/>
      <c r="I176" s="77" t="s">
        <v>196</v>
      </c>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v>44417</v>
      </c>
      <c r="B177" s="76"/>
      <c r="C177" s="25">
        <v>14000022</v>
      </c>
      <c r="D177" s="25" t="s">
        <v>194</v>
      </c>
      <c r="E177" s="77">
        <v>9</v>
      </c>
      <c r="F177" s="78">
        <v>616801.01402730704</v>
      </c>
      <c r="G177" s="79">
        <v>5998662.0203029504</v>
      </c>
      <c r="H177" s="77"/>
      <c r="I177" s="77" t="s">
        <v>197</v>
      </c>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v>44417</v>
      </c>
      <c r="B178" s="76"/>
      <c r="C178" s="25">
        <v>14000322</v>
      </c>
      <c r="D178" s="25" t="s">
        <v>194</v>
      </c>
      <c r="E178" s="77">
        <v>9</v>
      </c>
      <c r="F178" s="78">
        <v>616899.20040785905</v>
      </c>
      <c r="G178" s="79">
        <v>5998674.3915511603</v>
      </c>
      <c r="H178" s="77"/>
      <c r="I178" s="77" t="s">
        <v>197</v>
      </c>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v>44417</v>
      </c>
      <c r="B179" s="76"/>
      <c r="C179" s="25">
        <v>14000196</v>
      </c>
      <c r="D179" s="25" t="s">
        <v>194</v>
      </c>
      <c r="E179" s="77">
        <v>9</v>
      </c>
      <c r="F179" s="78">
        <v>617725.992598688</v>
      </c>
      <c r="G179" s="79">
        <v>5998773.98652298</v>
      </c>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v>44417</v>
      </c>
      <c r="B180" s="76"/>
      <c r="C180" s="25">
        <v>14001624</v>
      </c>
      <c r="D180" s="25" t="s">
        <v>194</v>
      </c>
      <c r="E180" s="77">
        <v>9</v>
      </c>
      <c r="F180" s="78">
        <v>618396.19425730896</v>
      </c>
      <c r="G180" s="79">
        <v>5996675.3007105002</v>
      </c>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v>44417</v>
      </c>
      <c r="B181" s="76"/>
      <c r="C181" s="25">
        <v>14001731</v>
      </c>
      <c r="D181" s="25" t="s">
        <v>194</v>
      </c>
      <c r="E181" s="77">
        <v>9</v>
      </c>
      <c r="F181" s="78">
        <v>620063.92072978104</v>
      </c>
      <c r="G181" s="79">
        <v>5995862.9806078104</v>
      </c>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v>44418</v>
      </c>
      <c r="B182" s="76"/>
      <c r="C182" s="25">
        <v>24740003</v>
      </c>
      <c r="D182" s="25" t="s">
        <v>194</v>
      </c>
      <c r="E182" s="77">
        <v>9</v>
      </c>
      <c r="F182" s="78">
        <v>622870.18589848303</v>
      </c>
      <c r="G182" s="79">
        <v>5988875.3527875002</v>
      </c>
      <c r="H182" s="77"/>
      <c r="I182" s="77" t="s">
        <v>198</v>
      </c>
      <c r="J182" s="80">
        <v>15</v>
      </c>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v>44418</v>
      </c>
      <c r="B183" s="76"/>
      <c r="C183" s="25">
        <v>14000897</v>
      </c>
      <c r="D183" s="25" t="s">
        <v>194</v>
      </c>
      <c r="E183" s="77">
        <v>9</v>
      </c>
      <c r="F183" s="78">
        <v>622107.96316453198</v>
      </c>
      <c r="G183" s="79">
        <v>5990679.8477611598</v>
      </c>
      <c r="H183" s="77"/>
      <c r="I183" s="77" t="s">
        <v>198</v>
      </c>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v>44418</v>
      </c>
      <c r="B184" s="76"/>
      <c r="C184" s="25">
        <v>14000892</v>
      </c>
      <c r="D184" s="25" t="s">
        <v>194</v>
      </c>
      <c r="E184" s="77">
        <v>9</v>
      </c>
      <c r="F184" s="78">
        <v>620392.06518316898</v>
      </c>
      <c r="G184" s="79">
        <v>5991272.9914908102</v>
      </c>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116"/>
      <c r="AO184" s="114"/>
      <c r="AP184" s="25"/>
    </row>
    <row r="185" spans="1:42" x14ac:dyDescent="0.25">
      <c r="A185" s="82">
        <v>44418</v>
      </c>
      <c r="B185" s="76"/>
      <c r="C185" s="25">
        <v>14000890</v>
      </c>
      <c r="D185" s="25" t="s">
        <v>194</v>
      </c>
      <c r="E185" s="77">
        <v>9</v>
      </c>
      <c r="F185" s="78">
        <v>620641.40853167302</v>
      </c>
      <c r="G185" s="79">
        <v>5990771.4645338496</v>
      </c>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v>44418</v>
      </c>
      <c r="B186" s="76"/>
      <c r="C186" s="25">
        <v>14000894</v>
      </c>
      <c r="D186" s="25" t="s">
        <v>194</v>
      </c>
      <c r="E186" s="77">
        <v>9</v>
      </c>
      <c r="F186" s="78">
        <v>620681.50849077303</v>
      </c>
      <c r="G186" s="79">
        <v>5990582.9340779399</v>
      </c>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v>44418</v>
      </c>
      <c r="B187" s="76"/>
      <c r="C187" s="25">
        <v>14000592</v>
      </c>
      <c r="D187" s="25" t="s">
        <v>194</v>
      </c>
      <c r="E187" s="77">
        <v>9</v>
      </c>
      <c r="F187" s="78">
        <v>620084.60317885596</v>
      </c>
      <c r="G187" s="79">
        <v>5994112.0088542001</v>
      </c>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v>44418</v>
      </c>
      <c r="B188" s="76"/>
      <c r="C188" s="25">
        <v>14000593</v>
      </c>
      <c r="D188" s="25" t="s">
        <v>194</v>
      </c>
      <c r="E188" s="77">
        <v>9</v>
      </c>
      <c r="F188" s="78">
        <v>621806.97357183497</v>
      </c>
      <c r="G188" s="79">
        <v>5996214.9517926704</v>
      </c>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v>44418</v>
      </c>
      <c r="B189" s="76"/>
      <c r="C189" s="25">
        <v>14001062</v>
      </c>
      <c r="D189" s="25" t="s">
        <v>194</v>
      </c>
      <c r="E189" s="77">
        <v>9</v>
      </c>
      <c r="F189" s="78">
        <v>622408.00336902705</v>
      </c>
      <c r="G189" s="79">
        <v>5997287.0422632797</v>
      </c>
      <c r="H189" s="77"/>
      <c r="I189" s="77" t="s">
        <v>199</v>
      </c>
      <c r="J189" s="80">
        <v>2</v>
      </c>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ht="30" x14ac:dyDescent="0.25">
      <c r="A190" s="82">
        <v>44418</v>
      </c>
      <c r="B190" s="76"/>
      <c r="C190" s="25">
        <v>14001094</v>
      </c>
      <c r="D190" s="25" t="s">
        <v>194</v>
      </c>
      <c r="E190" s="77">
        <v>9</v>
      </c>
      <c r="F190" s="78">
        <v>623368.99372882501</v>
      </c>
      <c r="G190" s="79">
        <v>6000282.9798788195</v>
      </c>
      <c r="H190" s="77" t="s">
        <v>187</v>
      </c>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116"/>
      <c r="AO190" s="114"/>
      <c r="AP190" s="25"/>
    </row>
    <row r="191" spans="1:42" x14ac:dyDescent="0.25">
      <c r="A191" s="82">
        <v>44418</v>
      </c>
      <c r="B191" s="76"/>
      <c r="C191" s="25">
        <v>14000967</v>
      </c>
      <c r="D191" s="25" t="s">
        <v>194</v>
      </c>
      <c r="E191" s="77">
        <v>9</v>
      </c>
      <c r="F191" s="78">
        <v>624444.27521961997</v>
      </c>
      <c r="G191" s="79">
        <v>6002415.5259661097</v>
      </c>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v>44418</v>
      </c>
      <c r="B192" s="76"/>
      <c r="C192" s="25">
        <v>14000968</v>
      </c>
      <c r="D192" s="25" t="s">
        <v>194</v>
      </c>
      <c r="E192" s="77">
        <v>9</v>
      </c>
      <c r="F192" s="78">
        <v>623985.99863787799</v>
      </c>
      <c r="G192" s="79">
        <v>6001190.9967943504</v>
      </c>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v>44418</v>
      </c>
      <c r="B193" s="76"/>
      <c r="C193" s="25">
        <v>14001222</v>
      </c>
      <c r="D193" s="25" t="s">
        <v>194</v>
      </c>
      <c r="E193" s="77">
        <v>9</v>
      </c>
      <c r="F193" s="78">
        <v>617661.22976064903</v>
      </c>
      <c r="G193" s="79">
        <v>5990287.3488971302</v>
      </c>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v>44419</v>
      </c>
      <c r="B194" s="76"/>
      <c r="C194" s="25">
        <v>14001029</v>
      </c>
      <c r="D194" s="25" t="s">
        <v>194</v>
      </c>
      <c r="E194" s="77">
        <v>9</v>
      </c>
      <c r="F194" s="78">
        <v>626238.56096679799</v>
      </c>
      <c r="G194" s="79">
        <v>6005131.1607868997</v>
      </c>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v>44419</v>
      </c>
      <c r="B195" s="76"/>
      <c r="C195" s="25">
        <v>14001112</v>
      </c>
      <c r="D195" s="25" t="s">
        <v>194</v>
      </c>
      <c r="E195" s="77">
        <v>9</v>
      </c>
      <c r="F195" s="78">
        <v>627288.56386306998</v>
      </c>
      <c r="G195" s="79">
        <v>6003664.6206075503</v>
      </c>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v>44419</v>
      </c>
      <c r="B196" s="76"/>
      <c r="C196" s="25">
        <v>14001170</v>
      </c>
      <c r="D196" s="25" t="s">
        <v>194</v>
      </c>
      <c r="E196" s="77">
        <v>9</v>
      </c>
      <c r="F196" s="78">
        <v>627520.83927341201</v>
      </c>
      <c r="G196" s="79">
        <v>6004422.9413773697</v>
      </c>
      <c r="H196" s="77"/>
      <c r="I196" s="77" t="s">
        <v>200</v>
      </c>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v>44419</v>
      </c>
      <c r="B197" s="76"/>
      <c r="C197" s="25">
        <v>14000799</v>
      </c>
      <c r="D197" s="25" t="s">
        <v>194</v>
      </c>
      <c r="E197" s="77">
        <v>9</v>
      </c>
      <c r="F197" s="78">
        <v>623421.99779612303</v>
      </c>
      <c r="G197" s="79">
        <v>6001387.9978659004</v>
      </c>
      <c r="H197" s="77"/>
      <c r="I197" s="77" t="s">
        <v>201</v>
      </c>
      <c r="J197" s="80">
        <v>47</v>
      </c>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v>44419</v>
      </c>
      <c r="B198" s="76"/>
      <c r="C198" s="25">
        <v>14000823</v>
      </c>
      <c r="D198" s="25" t="s">
        <v>194</v>
      </c>
      <c r="E198" s="77">
        <v>9</v>
      </c>
      <c r="F198" s="78">
        <v>623571.01218722202</v>
      </c>
      <c r="G198" s="79">
        <v>6001711.0284894304</v>
      </c>
      <c r="H198" s="77"/>
      <c r="I198" s="77" t="s">
        <v>201</v>
      </c>
      <c r="J198" s="80">
        <v>48</v>
      </c>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116"/>
      <c r="AO199" s="114"/>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116"/>
      <c r="AO200" s="114"/>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AQtm+bnqcavDcJAGCRLbxMsnDqqG0W7Uw5/vZ44bYrCXUuly6P9KQGMAcOerDN/pLYGrO+Hk4uNuCRkFWR+c5A==" saltValue="h4F5smSG3ENsRMEGOIUmO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35:M148 M150 M155:M157 M160:M167 M170 M17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150 Q152 Q155:Q157 Q160:Q167 Q170 Q17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150 N152 N155:N157 N160:N167 N170 N17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Q15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M168 M158:M159 M151"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N168 N158:N159 N151"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decimal" allowBlank="1" showInputMessage="1" showErrorMessage="1" errorTitle="Invalid value entered" error="The Average Depth Embededdment you entered is invalid. The Average Depth Embededdment must be &lt;= 7.99 and &gt;= 0.01" sqref="Q6 Q158"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M171 M169 M153:M154"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N171 N169 N153:N154"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 Q14 Q3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M152 M14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 type="decimal" allowBlank="1" showInputMessage="1" showErrorMessage="1" errorTitle="Invalid value entered" error="The Average Depth Embededdment you entered is invalid. The Average Depth Embededdment must be &lt;= 5.99 and &gt;= 0.01" sqref="Q151" xr:uid="{86406B75-986D-40FB-AD1E-0B766DD10BA5}">
      <formula1>0.01</formula1>
      <formula2>5.99</formula2>
    </dataValidation>
    <dataValidation type="decimal" allowBlank="1" showInputMessage="1" showErrorMessage="1" errorTitle="Invalid value entered" error="The Average Depth Embededdment you entered is invalid. The Average Depth Embededdment must be &lt;= 3.69 and &gt;= 0.01" sqref="Q154" xr:uid="{3FA3C3D1-7E82-4F0A-9428-090FA36E158C}">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53" xr:uid="{291265F1-7B1C-43E5-B83D-B143EA35891C}">
      <formula1>0.01</formula1>
      <formula2>2.49</formula2>
    </dataValidation>
    <dataValidation type="decimal" allowBlank="1" showInputMessage="1" showErrorMessage="1" errorTitle="Invalid value entered" error="The Average Depth Embededdment you entered is invalid. The Average Depth Embededdment must be &lt;= 16.99 and &gt;= 0.01" sqref="Q168" xr:uid="{181C2F77-D030-408B-8799-4E68537DA0FB}">
      <formula1>0.01</formula1>
      <formula2>16.99</formula2>
    </dataValidation>
    <dataValidation type="decimal" allowBlank="1" showInputMessage="1" showErrorMessage="1" errorTitle="Invalid value entered" error="The Average Depth Embededdment you entered is invalid. The Average Depth Embededdment must be &lt;= 1.59 and &gt;= 0.01" sqref="Q169" xr:uid="{3D49B742-8460-4AAF-84D0-4FD8A4103762}">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171" xr:uid="{AB0D2213-7FD4-43C7-A1E0-7F670D2FF2F1}">
      <formula1>0.01</formula1>
      <formula2>1.29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2021-12-08T01:18:15Z</dcterms:modified>
</cp:coreProperties>
</file>