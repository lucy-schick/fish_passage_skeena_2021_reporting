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F4FEF50B-C8F4-42B6-BE71-CEE5D934D097}"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4" i="2"/>
  <c r="AM193" i="2"/>
  <c r="AM188" i="2"/>
  <c r="AM183" i="2"/>
  <c r="AM182" i="2"/>
  <c r="AM181" i="2"/>
  <c r="AM179" i="2"/>
  <c r="AM178" i="2"/>
  <c r="AM175" i="2"/>
  <c r="AM168" i="2"/>
  <c r="AM166" i="2"/>
  <c r="AM159" i="2"/>
  <c r="AM158" i="2"/>
  <c r="AM152" i="2"/>
  <c r="AM151" i="2"/>
  <c r="AM150" i="2"/>
  <c r="AM148" i="2"/>
  <c r="AM146" i="2"/>
  <c r="AM137" i="2"/>
  <c r="AM136" i="2"/>
  <c r="AM132" i="2"/>
  <c r="AM130" i="2"/>
  <c r="AM129" i="2"/>
  <c r="AM128" i="2"/>
  <c r="AM126" i="2"/>
  <c r="AM123" i="2"/>
  <c r="AM122" i="2"/>
  <c r="AM120" i="2"/>
  <c r="AM115" i="2"/>
  <c r="AM111" i="2"/>
  <c r="AM109" i="2"/>
  <c r="AM106" i="2"/>
  <c r="AM104" i="2"/>
  <c r="AM102" i="2"/>
  <c r="AM101" i="2"/>
  <c r="AM98" i="2"/>
  <c r="AM95" i="2"/>
  <c r="AM93" i="2"/>
  <c r="AM92" i="2"/>
  <c r="AM91" i="2"/>
  <c r="AM90" i="2"/>
  <c r="AM89" i="2"/>
  <c r="AM88" i="2"/>
  <c r="AM84" i="2"/>
  <c r="AM83" i="2"/>
  <c r="AM82" i="2"/>
  <c r="AM78" i="2"/>
  <c r="AM76" i="2"/>
  <c r="AM74" i="2"/>
  <c r="AM73" i="2"/>
  <c r="AM71" i="2"/>
  <c r="AM66" i="2"/>
  <c r="AM64" i="2"/>
  <c r="AM63" i="2"/>
  <c r="AM62" i="2"/>
  <c r="AM61" i="2"/>
  <c r="AM60" i="2"/>
  <c r="AM58" i="2"/>
  <c r="AM55" i="2"/>
  <c r="AM53" i="2"/>
  <c r="AM52" i="2"/>
  <c r="AM48" i="2"/>
  <c r="AM47" i="2"/>
  <c r="AM46" i="2"/>
  <c r="AM45" i="2"/>
  <c r="AM44" i="2"/>
  <c r="AM40" i="2"/>
  <c r="AM38" i="2"/>
  <c r="AM37"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L9" i="2" s="1"/>
  <c r="AM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L47" i="2" s="1"/>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L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L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L104" i="2" s="1"/>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L172" i="2" s="1"/>
  <c r="AM172" i="2" s="1"/>
  <c r="AF173" i="2"/>
  <c r="AK173" i="2" s="1"/>
  <c r="AL173" i="2" s="1"/>
  <c r="AM173" i="2" s="1"/>
  <c r="AG173" i="2"/>
  <c r="AH173" i="2"/>
  <c r="AI173" i="2"/>
  <c r="AJ173" i="2"/>
  <c r="AF174" i="2"/>
  <c r="AK174" i="2" s="1"/>
  <c r="AG174" i="2"/>
  <c r="AH174" i="2"/>
  <c r="AI174" i="2"/>
  <c r="AJ174" i="2"/>
  <c r="AF175" i="2"/>
  <c r="AK175" i="2" s="1"/>
  <c r="AG175" i="2"/>
  <c r="AH175" i="2"/>
  <c r="AI175" i="2"/>
  <c r="AJ175" i="2"/>
  <c r="AF176" i="2"/>
  <c r="AK176" i="2" s="1"/>
  <c r="AL176" i="2" s="1"/>
  <c r="AM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53" i="2"/>
  <c r="AL37" i="2"/>
  <c r="AL21" i="2"/>
  <c r="AM21" i="2" s="1"/>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78" i="2"/>
  <c r="AL280" i="2"/>
  <c r="AL272" i="2"/>
  <c r="AL264" i="2"/>
  <c r="AL256" i="2"/>
  <c r="AL248" i="2"/>
  <c r="AL240" i="2"/>
  <c r="AL233" i="2"/>
  <c r="AL226" i="2"/>
  <c r="AL155" i="2"/>
  <c r="AM155" i="2" s="1"/>
  <c r="AL131" i="2"/>
  <c r="AM131" i="2" s="1"/>
  <c r="AL123" i="2"/>
  <c r="AL119" i="2"/>
  <c r="AM119" i="2" s="1"/>
  <c r="AL152" i="2"/>
  <c r="AL148" i="2"/>
  <c r="AL144" i="2"/>
  <c r="AM144" i="2" s="1"/>
  <c r="AL136" i="2"/>
  <c r="AL132" i="2"/>
  <c r="AL128" i="2"/>
  <c r="AL120" i="2"/>
  <c r="AL112" i="2"/>
  <c r="AM112" i="2" s="1"/>
  <c r="AL108" i="2"/>
  <c r="AM108" i="2" s="1"/>
  <c r="AL92" i="2"/>
  <c r="AL88" i="2"/>
  <c r="AL82" i="2"/>
  <c r="AL153" i="2"/>
  <c r="AM153" i="2" s="1"/>
  <c r="AL149" i="2"/>
  <c r="AM149" i="2" s="1"/>
  <c r="AL129" i="2"/>
  <c r="AL125" i="2"/>
  <c r="AM125" i="2" s="1"/>
  <c r="AL105" i="2"/>
  <c r="AM105" i="2" s="1"/>
  <c r="AL101" i="2"/>
  <c r="AL158" i="2"/>
  <c r="AL146" i="2"/>
  <c r="AL142" i="2"/>
  <c r="AM142" i="2" s="1"/>
  <c r="AL138" i="2"/>
  <c r="AM138" i="2" s="1"/>
  <c r="AL134" i="2"/>
  <c r="AM134" i="2" s="1"/>
  <c r="AL130" i="2"/>
  <c r="AL126" i="2"/>
  <c r="AL122" i="2"/>
  <c r="AL110" i="2"/>
  <c r="AM110" i="2" s="1"/>
  <c r="AL106" i="2"/>
  <c r="AL102" i="2"/>
  <c r="AL98" i="2"/>
  <c r="AL74" i="2"/>
  <c r="AL62" i="2"/>
  <c r="AL54" i="2"/>
  <c r="AM54" i="2" s="1"/>
  <c r="AL46" i="2"/>
  <c r="AL38" i="2"/>
  <c r="AL30" i="2"/>
  <c r="AL22" i="2"/>
  <c r="AL87" i="2"/>
  <c r="AM87" i="2" s="1"/>
  <c r="AL71" i="2"/>
  <c r="AL39" i="2"/>
  <c r="AM39" i="2" s="1"/>
  <c r="AL31" i="2"/>
  <c r="AM31" i="2" s="1"/>
  <c r="AL23" i="2"/>
  <c r="AL57" i="2"/>
  <c r="AM57" i="2" s="1"/>
  <c r="AL49" i="2"/>
  <c r="AM49" i="2" s="1"/>
  <c r="AL41" i="2"/>
  <c r="AM41" i="2" s="1"/>
  <c r="AL51" i="2"/>
  <c r="AM51" i="2" s="1"/>
  <c r="AL43" i="2"/>
  <c r="AM43" i="2" s="1"/>
  <c r="AL35" i="2"/>
  <c r="AL27" i="2"/>
  <c r="AM27" i="2" s="1"/>
  <c r="AM17" i="2"/>
  <c r="AL19" i="2"/>
  <c r="AM19" i="2"/>
  <c r="AL20" i="2"/>
  <c r="AL18" i="2"/>
  <c r="AM18" i="2"/>
  <c r="AL16" i="2"/>
  <c r="AM16" i="2"/>
  <c r="AL15" i="2"/>
  <c r="AM15" i="2"/>
  <c r="AL14" i="2"/>
  <c r="AM14" i="2" s="1"/>
  <c r="AL12" i="2"/>
  <c r="AM12" i="2" s="1"/>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34" i="2"/>
  <c r="AL227" i="2"/>
  <c r="AL5204" i="2"/>
  <c r="AL5235" i="2"/>
  <c r="AL5251" i="2"/>
  <c r="AL5283" i="2"/>
  <c r="AL232" i="2"/>
  <c r="AL207" i="2"/>
  <c r="AL90" i="2"/>
  <c r="AL5017" i="2"/>
  <c r="AL5037" i="2"/>
  <c r="AL5074" i="2"/>
  <c r="AL5150" i="2"/>
  <c r="AL5157" i="2"/>
  <c r="AL5160" i="2"/>
  <c r="AL5165" i="2"/>
  <c r="AL5168" i="2"/>
  <c r="AL5182" i="2"/>
  <c r="AL5189" i="2"/>
  <c r="AL5192" i="2"/>
  <c r="AL5197" i="2"/>
  <c r="AL5222" i="2"/>
  <c r="AL5058" i="2"/>
  <c r="AL190" i="2"/>
  <c r="AM190" i="2" s="1"/>
  <c r="AL40" i="2"/>
  <c r="AL34" i="2"/>
  <c r="AL5070" i="2"/>
  <c r="AL5130" i="2"/>
  <c r="AL241" i="2"/>
  <c r="AL187" i="2"/>
  <c r="AM187" i="2" s="1"/>
  <c r="AL160" i="2"/>
  <c r="AM160" i="2" s="1"/>
  <c r="AL5009" i="2"/>
  <c r="AL5029" i="2"/>
  <c r="AL5123" i="2"/>
  <c r="AL222" i="2"/>
  <c r="AL208" i="2"/>
  <c r="AL174" i="2"/>
  <c r="AM174" i="2" s="1"/>
  <c r="AL56" i="2"/>
  <c r="AM56" i="2" s="1"/>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4" i="2"/>
  <c r="AM184" i="2" s="1"/>
  <c r="AL170" i="2"/>
  <c r="AM170" i="2" s="1"/>
  <c r="AL307" i="2"/>
  <c r="AL298" i="2"/>
  <c r="AL279" i="2"/>
  <c r="AL77" i="2"/>
  <c r="AM77" i="2" s="1"/>
  <c r="AL5013" i="2"/>
  <c r="AL36" i="2"/>
  <c r="AM36" i="2" s="1"/>
  <c r="AL5198" i="2"/>
  <c r="AL5267" i="2"/>
  <c r="AL221" i="2"/>
  <c r="AL216" i="2"/>
  <c r="AL68" i="2"/>
  <c r="AM68" i="2" s="1"/>
  <c r="AL64" i="2"/>
  <c r="AL26" i="2"/>
  <c r="AL524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5045" i="2"/>
  <c r="AL5094" i="2"/>
  <c r="AL557" i="2"/>
  <c r="AL269" i="2"/>
  <c r="AL331" i="2"/>
  <c r="AL308" i="2"/>
  <c r="AL371" i="2"/>
  <c r="AL299" i="2"/>
  <c r="AL282" i="2"/>
  <c r="AL306" i="2"/>
  <c r="AL289" i="2"/>
  <c r="AL185" i="2"/>
  <c r="AM185" i="2" s="1"/>
  <c r="AL5042" i="2"/>
  <c r="AL5133" i="2"/>
  <c r="AL5275" i="2"/>
  <c r="AL5038" i="2"/>
  <c r="AL5141" i="2"/>
  <c r="AL5176" i="2"/>
  <c r="AL5144" i="2"/>
  <c r="AL5239" i="2"/>
  <c r="AL5271"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171" i="2"/>
  <c r="AM171" i="2" s="1"/>
  <c r="AL5127" i="2"/>
  <c r="AL214" i="2"/>
  <c r="AL182" i="2"/>
  <c r="AL167" i="2"/>
  <c r="AM167" i="2" s="1"/>
  <c r="AL202" i="2"/>
  <c r="AL5006" i="2"/>
  <c r="AL5149" i="2"/>
  <c r="AL5174" i="2"/>
  <c r="AL180" i="2"/>
  <c r="AM180" i="2" s="1"/>
  <c r="AL165" i="2"/>
  <c r="AM165" i="2" s="1"/>
  <c r="AL5002" i="2"/>
  <c r="AL5026" i="2"/>
  <c r="AL5053" i="2"/>
  <c r="AL5122" i="2"/>
  <c r="AL215" i="2"/>
  <c r="AL5059" i="2"/>
  <c r="AL5184" i="2"/>
  <c r="AL5255" i="2"/>
  <c r="AL11" i="2"/>
  <c r="AM11" i="2" s="1"/>
  <c r="AM6" i="2"/>
  <c r="AM10"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M177" i="2" s="1"/>
  <c r="AL353" i="2"/>
  <c r="AL5050" i="2"/>
  <c r="AL337" i="2"/>
  <c r="AL5110" i="2"/>
  <c r="AL316" i="2"/>
  <c r="AL32" i="2"/>
  <c r="AL5046" i="2"/>
  <c r="AL5086" i="2"/>
  <c r="AL5115" i="2"/>
  <c r="AL5259" i="2"/>
  <c r="AL58" i="2"/>
  <c r="AL315" i="2"/>
  <c r="AL192" i="2"/>
  <c r="AM192" i="2" s="1"/>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84" i="2"/>
  <c r="AL100" i="2" l="1"/>
  <c r="AM100" i="2" s="1"/>
  <c r="AL97" i="2"/>
  <c r="AM97" i="2" s="1"/>
  <c r="AL95" i="2"/>
  <c r="AL89" i="2"/>
  <c r="AL83" i="2"/>
  <c r="AL78" i="2"/>
  <c r="AL73" i="2"/>
  <c r="AL66" i="2"/>
  <c r="AL63" i="2"/>
  <c r="AL42" i="2"/>
  <c r="AM42" i="2" s="1"/>
  <c r="AL8" i="2"/>
  <c r="AM8" i="2" s="1"/>
  <c r="AL196" i="2"/>
  <c r="AM196" i="2" s="1"/>
  <c r="AL195" i="2"/>
  <c r="AM195" i="2" s="1"/>
  <c r="AL86" i="2"/>
  <c r="AM86" i="2" s="1"/>
  <c r="AL70" i="2"/>
  <c r="AM70" i="2" s="1"/>
  <c r="AL191" i="2"/>
  <c r="AM191" i="2" s="1"/>
  <c r="AL193" i="2"/>
  <c r="AL200" i="2"/>
  <c r="AL181" i="2"/>
  <c r="AL203" i="2"/>
  <c r="AL188" i="2"/>
  <c r="AL135" i="2"/>
  <c r="AM135" i="2" s="1"/>
  <c r="AL94" i="2"/>
  <c r="AM94" i="2" s="1"/>
  <c r="AL147" i="2"/>
  <c r="AM147" i="2" s="1"/>
  <c r="AL67" i="2"/>
  <c r="AM67" i="2" s="1"/>
  <c r="AL198" i="2"/>
  <c r="AM198" i="2" s="1"/>
  <c r="AL197" i="2"/>
  <c r="AM197" i="2" s="1"/>
  <c r="AL189" i="2"/>
  <c r="AM189" i="2" s="1"/>
  <c r="AL186" i="2"/>
  <c r="AM186" i="2" s="1"/>
  <c r="AL183" i="2"/>
  <c r="AL175" i="2"/>
  <c r="AL166" i="2"/>
  <c r="AL157" i="2"/>
  <c r="AM157" i="2" s="1"/>
  <c r="AL156" i="2"/>
  <c r="AM156" i="2" s="1"/>
  <c r="AL161" i="2"/>
  <c r="AM161" i="2" s="1"/>
  <c r="AL164" i="2"/>
  <c r="AM164" i="2" s="1"/>
  <c r="AL163" i="2"/>
  <c r="AM163" i="2" s="1"/>
  <c r="AL162" i="2"/>
  <c r="AM162" i="2" s="1"/>
  <c r="AL150" i="2"/>
  <c r="AL145" i="2"/>
  <c r="AM145" i="2" s="1"/>
  <c r="AL143" i="2"/>
  <c r="AM143" i="2" s="1"/>
  <c r="AL141" i="2"/>
  <c r="AM141" i="2" s="1"/>
  <c r="AL140" i="2"/>
  <c r="AM140" i="2" s="1"/>
  <c r="AL139" i="2"/>
  <c r="AM139" i="2" s="1"/>
  <c r="AL137" i="2"/>
  <c r="AL133" i="2"/>
  <c r="AM133" i="2" s="1"/>
  <c r="AL127" i="2"/>
  <c r="AM127" i="2" s="1"/>
  <c r="AL124" i="2"/>
  <c r="AM124" i="2" s="1"/>
  <c r="AL121" i="2"/>
  <c r="AM121" i="2" s="1"/>
  <c r="AL118" i="2"/>
  <c r="AM118" i="2" s="1"/>
  <c r="AL117" i="2"/>
  <c r="AM117" i="2" s="1"/>
  <c r="AL116" i="2"/>
  <c r="AM116" i="2" s="1"/>
  <c r="AL115" i="2"/>
  <c r="AL114" i="2"/>
  <c r="AM114" i="2" s="1"/>
  <c r="AL113" i="2"/>
  <c r="AM113" i="2" s="1"/>
  <c r="AL111" i="2"/>
  <c r="AL109" i="2"/>
  <c r="AL107" i="2"/>
  <c r="AM107" i="2" s="1"/>
  <c r="AL103" i="2"/>
  <c r="AM103" i="2" s="1"/>
  <c r="AL99" i="2"/>
  <c r="AM99" i="2" s="1"/>
  <c r="AL96" i="2"/>
  <c r="AM96" i="2" s="1"/>
  <c r="AL93" i="2"/>
  <c r="AL91" i="2"/>
  <c r="AL85" i="2"/>
  <c r="AM85" i="2" s="1"/>
  <c r="AL81" i="2"/>
  <c r="AM81" i="2" s="1"/>
  <c r="AL80" i="2"/>
  <c r="AM80" i="2" s="1"/>
  <c r="AL79" i="2"/>
  <c r="AM79" i="2" s="1"/>
  <c r="AL75" i="2"/>
  <c r="AM75" i="2" s="1"/>
  <c r="AL72" i="2"/>
  <c r="AM72" i="2" s="1"/>
  <c r="AL69" i="2"/>
  <c r="AM69" i="2" s="1"/>
  <c r="AL65" i="2"/>
  <c r="AM65" i="2" s="1"/>
  <c r="AL59" i="2"/>
  <c r="AM59" i="2" s="1"/>
  <c r="AL55" i="2"/>
  <c r="AL45" i="2"/>
  <c r="AL199" i="2"/>
  <c r="AM199" i="2" s="1"/>
  <c r="AL159" i="2"/>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<sst xmlns="http://schemas.openxmlformats.org/spreadsheetml/2006/main" count="2593" uniqueCount="551">
  <si>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</si>
  <si>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</si>
  <si>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</si>
  <si>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</si>
  <si>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</si>
  <si>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</si>
  <si>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</si>
  <si>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</si>
  <si>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</si>
  <si>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</si>
  <si>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</si>
  <si>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</si>
  <si>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</si>
  <si>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</si>
  <si>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</si>
  <si>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</si>
  <si>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</si>
  <si>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</si>
  <si>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</si>
  <si>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</si>
  <si>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</si>
  <si>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</si>
  <si>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</si>
  <si>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</si>
  <si>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</si>
  <si>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</si>
  <si>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</si>
  <si>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</si>
  <si>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</si>
  <si>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</si>
  <si>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</si>
  <si>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</si>
  <si>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</si>
  <si>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</si>
  <si>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</si>
  <si>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</si>
  <si>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</si>
  <si>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</si>
  <si>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</si>
  <si>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</si>
  <si>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</si>
  <si>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</si>
  <si>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</si>
  <si>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</si>
  <si>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</si>
  <si>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</si>
  <si>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</si>
  <si>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</si>
  <si>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</si>
  <si>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</si>
  <si>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</si>
  <si>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</si>
  <si>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</si>
  <si>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</si>
  <si>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</si>
  <si>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</si>
  <si>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</si>
  <si>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</si>
  <si>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</si>
  <si>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</si>
  <si>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</si>
  <si>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</si>
  <si>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</si>
  <si>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</si>
  <si>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</si>
  <si>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</si>
  <si>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</si>
  <si>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</si>
  <si>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</si>
  <si>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</si>
  <si>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</si>
  <si>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</si>
  <si>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</si>
  <si>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</si>
  <si>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</si>
  <si>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</si>
  <si>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</si>
  <si>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</si>
  <si>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</si>
  <si>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</si>
  <si>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</si>
  <si>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</si>
  <si>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</si>
  <si>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</si>
  <si>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</si>
  <si>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</si>
  <si>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</si>
  <si>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</si>
  <si>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</si>
  <si>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</si>
  <si>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</si>
  <si>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</si>
  <si>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</si>
  <si>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</si>
  <si>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</si>
  <si>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Open Bottom Structure</t>
  </si>
  <si>
    <t>Bridge</t>
  </si>
  <si>
    <t>AI KP</t>
  </si>
  <si>
    <t>Private</t>
  </si>
  <si>
    <t>Closed Bottom Structure</t>
  </si>
  <si>
    <t>Round Culvert</t>
  </si>
  <si>
    <t>No</t>
  </si>
  <si>
    <t>Deep Fill</t>
  </si>
  <si>
    <t>Low</t>
  </si>
  <si>
    <t>Yes</t>
  </si>
  <si>
    <t>Crow Creek Road</t>
  </si>
  <si>
    <t>Rose Lake Cuttoff Road</t>
  </si>
  <si>
    <t>Tributary to Bulkley River</t>
  </si>
  <si>
    <t>Tributary to Maxan Creek</t>
  </si>
  <si>
    <t>Maxan Creek FSR</t>
  </si>
  <si>
    <t>Medium</t>
  </si>
  <si>
    <t>Spur 30</t>
  </si>
  <si>
    <t>Other</t>
  </si>
  <si>
    <t>Ford</t>
  </si>
  <si>
    <t>Foxy Creek</t>
  </si>
  <si>
    <t>unnamed</t>
  </si>
  <si>
    <t>Johnny David Creek</t>
  </si>
  <si>
    <t>Robert Hatch Creek</t>
  </si>
  <si>
    <t>Tributary to Gosnell Creek</t>
  </si>
  <si>
    <t>Crystal Creek FSR</t>
  </si>
  <si>
    <t>Oval Culvert</t>
  </si>
  <si>
    <t>Spur</t>
  </si>
  <si>
    <t>Tributary to Morice River</t>
  </si>
  <si>
    <t>Morice West FSR</t>
  </si>
  <si>
    <t>Tagit Creek</t>
  </si>
  <si>
    <t>KP AI</t>
  </si>
  <si>
    <t>Deep Creek</t>
  </si>
  <si>
    <t>Private Driveway</t>
  </si>
  <si>
    <t>John Brown</t>
  </si>
  <si>
    <t>Powerline</t>
  </si>
  <si>
    <t>Tributary to Toboggan Creek</t>
  </si>
  <si>
    <t>Elliot Creek</t>
  </si>
  <si>
    <t>Tributary to Waterfall Creek</t>
  </si>
  <si>
    <t>DN</t>
  </si>
  <si>
    <t>Boulder Creek</t>
  </si>
  <si>
    <t>Unnamed</t>
  </si>
  <si>
    <t>No structure present.</t>
  </si>
  <si>
    <t>Cesford Creek</t>
  </si>
  <si>
    <t>Highway 118</t>
  </si>
  <si>
    <t>High</t>
  </si>
  <si>
    <t>Taman Creek</t>
  </si>
  <si>
    <t>Highway 16</t>
  </si>
  <si>
    <t>Tributary to Thautil River</t>
  </si>
  <si>
    <t>Thautil FSR</t>
  </si>
  <si>
    <t>Tributary to Gabriel Creek</t>
  </si>
  <si>
    <t>Gabriel Creek</t>
  </si>
  <si>
    <t>AI VJ TP</t>
  </si>
  <si>
    <t>AI KP VJ TP</t>
  </si>
  <si>
    <t>Morice-Owen FSR</t>
  </si>
  <si>
    <t>Fenton Creek</t>
  </si>
  <si>
    <t>Morice-West FSR</t>
  </si>
  <si>
    <t>Tsiyuh Creek</t>
  </si>
  <si>
    <t>Morice River FSR</t>
  </si>
  <si>
    <t>Pipe Arch</t>
  </si>
  <si>
    <t>KP AI TP VJ</t>
  </si>
  <si>
    <t>Tributary to Lamprey Creek</t>
  </si>
  <si>
    <t>Watson Creek</t>
  </si>
  <si>
    <t>Montgomery Road</t>
  </si>
  <si>
    <t>Thompson Creek</t>
  </si>
  <si>
    <t>Private Road</t>
  </si>
  <si>
    <t>LRH DM</t>
  </si>
  <si>
    <t>Morice R FSR</t>
  </si>
  <si>
    <t>Morice Nado</t>
  </si>
  <si>
    <t>spur Morice Nado</t>
  </si>
  <si>
    <t>Bill Nye spur</t>
  </si>
  <si>
    <t>Bill Nye</t>
  </si>
  <si>
    <t>spur (overgrown)</t>
  </si>
  <si>
    <t>Morice FSR</t>
  </si>
  <si>
    <t>Tributary to Nanika River</t>
  </si>
  <si>
    <t>McBride Creek</t>
  </si>
  <si>
    <t>KP</t>
  </si>
  <si>
    <t>Peacock Creek</t>
  </si>
  <si>
    <t>Tributary to Thaulit River</t>
  </si>
  <si>
    <t>Chisholm FSR</t>
  </si>
  <si>
    <t>Bridge. 9:46</t>
  </si>
  <si>
    <t>Bridge. 10:36</t>
  </si>
  <si>
    <t>Dry, small channel. 10:53</t>
  </si>
  <si>
    <t>Dry, small stream.  Runs in ditch beside the road. 11:09</t>
  </si>
  <si>
    <t>Dry with dredged channel.  Double pipe (0.9 x 0.9). 11:26</t>
  </si>
  <si>
    <t>Bridge. 12:05</t>
  </si>
  <si>
    <t>Dry channel.  Two pipes (0.5 x 0.5).  FISS site downstream. 12:29</t>
  </si>
  <si>
    <t>Dry channel at time of survey.  Runs in ditch on low side of road.  Recently replaces.  12:49</t>
  </si>
  <si>
    <t>Dry channel at time of survey. Very small stream. ID # on card in road photo is incorrect. 13:10</t>
  </si>
  <si>
    <t>Habitat value is low to medium.  Large beaver influenced lake upstream with two dams ~1.5m high at 10m and 30m upstream. Inlet blocked.  Water at inlet is level with the top of the culvert.  At 4m downstream is a 1m high beaver dam. 13:23</t>
  </si>
  <si>
    <t>Bridge. 14:15</t>
  </si>
  <si>
    <t>Ford. 15:55</t>
  </si>
  <si>
    <t>Bridge has collapsed and is impediment to upstream fish passage.  Habitat confirmation conducted. 16:56</t>
  </si>
  <si>
    <t>Ford. 17:46</t>
  </si>
  <si>
    <t>Ford. Area is extensively impacted by cattle trampling of banks. 17:56</t>
  </si>
  <si>
    <t>Ford.  Road deactivated and grown in.  Not ATV accessible beyond this point. 12:15</t>
  </si>
  <si>
    <t>Old Crystal Ck FSR.  Flat bottom structure.  Good flow with abundant gravels and LWD.  Nice stream.  Appears passable to all life stages. Culvert slope was estimated with clinometer so may be slightly off.  If slope was entered as 1% this crossing would rank as a "potential" barrier. 12:26</t>
  </si>
  <si>
    <t>Dry channel at time of survey.  Should this bridge be removed and girders salvaged? 13:05</t>
  </si>
  <si>
    <t>Bridge. Wood abutments and girders. 13:12</t>
  </si>
  <si>
    <t>Ford. 13:24</t>
  </si>
  <si>
    <t>Bridge. 14:33</t>
  </si>
  <si>
    <t>Road deactivated. 15:02</t>
  </si>
  <si>
    <t>Dry at time of survey.  Channel poorly defined.  Likely flows for only short periods. 15:40</t>
  </si>
  <si>
    <t>Fill depth estimated. 16:02</t>
  </si>
  <si>
    <t>Ford.  Quad bridge in place made from logs. 16:38</t>
  </si>
  <si>
    <t>Observed 60mm fish swimming into the outlet.  Nicely embedded. Inlet drop of large cobbles may be issue for smaller fish. 16:54</t>
  </si>
  <si>
    <t>Bridge. 17:30</t>
  </si>
  <si>
    <t>Dry. Small stream. DV point upstream in FISS.  May be flowing at point upstream. 17:41</t>
  </si>
  <si>
    <t>Bridge with only 0.7 clearance at outlet. 18:07</t>
  </si>
  <si>
    <t>AI DN</t>
  </si>
  <si>
    <t>Bridge. 11:50</t>
  </si>
  <si>
    <t>Bridge. 14:27</t>
  </si>
  <si>
    <t>KP AI VJ TP</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</si>
  <si>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</si>
  <si>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</si>
  <si>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Ford. 11:14</t>
  </si>
  <si>
    <t>Cross ditch. Questioning fish point. Noted upstream in FISS. Not fish habitat. 11:24</t>
  </si>
  <si>
    <t>Quad bridge of logs and 2x6. 12:23</t>
  </si>
  <si>
    <t>Temporary road to cutblock. Suspect main stream flows elsewhere. This is dry currently but wetland type depression. Channel poorly defined. Drains to ground. 12:40</t>
  </si>
  <si>
    <t>Temporary bridge with wood abutments. 12:56</t>
  </si>
  <si>
    <t>Quad road (remove?). Some flow. Fish points upstream. 14:55</t>
  </si>
  <si>
    <t>Quad access. Dry. Fish points upstream. Very small system. 14:36</t>
  </si>
  <si>
    <t>Cutthroat 1</t>
  </si>
  <si>
    <t>Good flow. Nice stream. Not sure why it didn't map. 15:57</t>
  </si>
  <si>
    <t>Tributary to McBride River</t>
  </si>
  <si>
    <t>Road deactivated. No visible channel. 17:02</t>
  </si>
  <si>
    <t>Road deactivated. Channel moist. 17:06</t>
  </si>
  <si>
    <t>Thautil River. 11:34</t>
  </si>
  <si>
    <t>Hagman Creek</t>
  </si>
  <si>
    <t>Bridge. 13:40</t>
  </si>
  <si>
    <t>Models as non-fish but DV below. 13:55</t>
  </si>
  <si>
    <t>Small intermittent drainage. 14:28</t>
  </si>
  <si>
    <t>WP375. Sedges almost completely block culvert. Likely passable at near all flows for all species and life stages. 14:47</t>
  </si>
  <si>
    <t>Bridge. 15:14</t>
  </si>
  <si>
    <t>Tributary to Tagit Creek</t>
  </si>
  <si>
    <t>Deactivated road. ATV could get through. 15:40</t>
  </si>
  <si>
    <t>Good flow. Nice gravels. Deep undercut banks. CT upstream and downstream in FISS. ~40mm fish upstream. 15:52</t>
  </si>
  <si>
    <t>11 Rd</t>
  </si>
  <si>
    <t>15 Rd</t>
  </si>
  <si>
    <t>Bridge. 16:27</t>
  </si>
  <si>
    <t>Tributatry to Morice River</t>
  </si>
  <si>
    <t>False Tagit FSR</t>
  </si>
  <si>
    <t>Dry upstream but sizable channel. Cobble substrate. ~20 fish 50-80mm in outlet pool. 17:05</t>
  </si>
  <si>
    <t>Full deactivation. No ATV passability. 18:01</t>
  </si>
  <si>
    <t>Nice stream downstream at deactivated crossing. Riparian shrub cover is extremely thick. Difficult to get width and gradient. Stream may be bigger. 18:13</t>
  </si>
  <si>
    <t>Ailport Creek</t>
  </si>
  <si>
    <t>Ford. 19:49</t>
  </si>
  <si>
    <t>Beaver dam. 12:41</t>
  </si>
  <si>
    <t>Tributary to Elwin Lake</t>
  </si>
  <si>
    <t>Newer. 13:55</t>
  </si>
  <si>
    <t>Corya Creek</t>
  </si>
  <si>
    <t>Outlet is cracked and drops. Inlet embedded to 2/3 way. 10:33</t>
  </si>
  <si>
    <t>Railway</t>
  </si>
  <si>
    <t>Beavers have clogged both inlets (double barrel). Significant sized marsh ~40m upstream with beaver dam 1.5 - 2m high on outlet of wetland. 9:40</t>
  </si>
  <si>
    <t>Bulkley River</t>
  </si>
  <si>
    <t>Backwatered fully, appears fully passable. Fish sighted at outlet. Distance from water surface to top of culvert is 70cm. 9:58</t>
  </si>
  <si>
    <t>Bulkley River Side Channel</t>
  </si>
  <si>
    <t>Side channel of main stream. Shallow. Old beaver dam ~15m upstream. 100% backwatered. Top of outlet culvert is covered. 10:20</t>
  </si>
  <si>
    <t>Rose Lake cut-off bridge. 11:38</t>
  </si>
  <si>
    <t>Beaver dam at inlet ~1.5m high. Rocks placed at outlet reducing drop to 0, rocks about long, and have stagged drop of 0.7m. 12:20</t>
  </si>
  <si>
    <t>Observed water pump and intake hose below bridge (downstream). 13:42</t>
  </si>
  <si>
    <t>Raymond Road</t>
  </si>
  <si>
    <t>Tributary to Broman Lake</t>
  </si>
  <si>
    <t>Broman Lake FSR</t>
  </si>
  <si>
    <t>Just before km 3. Inlet embedded with vegetation ~0.2m. Channel dry, small amount of water in pool downstream. ~5cm. Hard to see channel downstream. 15:14</t>
  </si>
  <si>
    <t>Powerline accessed via Broman Lake FSR bridge. 16:55</t>
  </si>
  <si>
    <t>Channel dry. Small pool at inlet. Inlet perched above water 3cm and substrate 17cm. Channel upstream is not aligned with culvert at all. 17:24</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</si>
  <si>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</si>
  <si>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</si>
  <si>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Bridge. 11:10</t>
  </si>
  <si>
    <t>Bridge. 11:17</t>
  </si>
  <si>
    <t>Bridge. 11:33</t>
  </si>
  <si>
    <t>Appears passable. Nice little stream with plenty of gravel. 11:38</t>
  </si>
  <si>
    <t>Appears passable. Similar to previous but bigger stream. Nice gravels on both sides. 11:55</t>
  </si>
  <si>
    <t>Only left (facing downstream) is embedded, right one backwatered 25%. Nice gravel on upstream and downstream side. 12:23</t>
  </si>
  <si>
    <t>Bridge. 14:19</t>
  </si>
  <si>
    <t>6 Road</t>
  </si>
  <si>
    <t>Bridge. 14:38</t>
  </si>
  <si>
    <t>Bridge. 14:46</t>
  </si>
  <si>
    <t>Bridge. 15:03</t>
  </si>
  <si>
    <t>11 Road</t>
  </si>
  <si>
    <t>Hydrometric station 13m downstream assuming the modelling number is correct. There are 2 close by. 15:12</t>
  </si>
  <si>
    <t>Bridge. 15:19</t>
  </si>
  <si>
    <t>Bridge. 15:29</t>
  </si>
  <si>
    <t>Very close to previous. Very small channelled stream, trickling. 15:51</t>
  </si>
  <si>
    <t>Bridge. 16:13</t>
  </si>
  <si>
    <t>Very recently logged upstream and downstream. 16:23</t>
  </si>
  <si>
    <t>Estimated length, missed in field. All culverts on road were &gt;20m due to size of road. 16:37</t>
  </si>
  <si>
    <t>Check utm. 16:52</t>
  </si>
  <si>
    <t>Bridge. 17:00</t>
  </si>
  <si>
    <t>Channel dry upstream. 3 toads in outlet pool. 17:12</t>
  </si>
  <si>
    <t>Bridge. 17:36</t>
  </si>
  <si>
    <t>Nanika FSR</t>
  </si>
  <si>
    <t>Laser level for slope. Channel width difficult to measure due to vegetation. 9:43</t>
  </si>
  <si>
    <t>Bridge. 11:08</t>
  </si>
  <si>
    <t>9 Road</t>
  </si>
  <si>
    <t>Poorly defined channel unlikely fish habitat. Dry. 11:45</t>
  </si>
  <si>
    <t>Bridge. 12:02</t>
  </si>
  <si>
    <t>Dry channel, stream slope estimated. Outlet drop .15m. 12:12</t>
  </si>
  <si>
    <t>Location much different than map. 12:25</t>
  </si>
  <si>
    <t>Stream has good flow, well developed channel. 12:50</t>
  </si>
  <si>
    <t>1 Road</t>
  </si>
  <si>
    <t>Channel dry , hard to find. Unlikely fish habitat. Culvert deformed. 14:35</t>
  </si>
  <si>
    <t>4 Road</t>
  </si>
  <si>
    <t>Bridge. 14:47</t>
  </si>
  <si>
    <t>Dry channel. Another culvert ~5m away, higher and smaller for flood or overflow. Outlet pool big, stream experiences high seasonal variation. 15:03</t>
  </si>
  <si>
    <t>Wetland like habitat above and below, culvert is made of wood but intact. Damage on top of culvert on outlet (missing plank). 16:24</t>
  </si>
  <si>
    <t>Bridge. 11:20</t>
  </si>
  <si>
    <t>Bridge. 14:22</t>
  </si>
  <si>
    <t>Initially ~1.6m channel, then ~40m upstream goes underground and channel down to 1.1 or 0.9m. Inlet drop ~0.25m in front of inlet. Culvert slope challenging due to angle and deformed middle of culvert. 14:46</t>
  </si>
  <si>
    <t>Bridge. 15:52</t>
  </si>
  <si>
    <t>5 Road</t>
  </si>
  <si>
    <t>Bridge. 16:25</t>
  </si>
  <si>
    <t>Bridge. 16:59</t>
  </si>
  <si>
    <t>Bridge. 17:13</t>
  </si>
  <si>
    <t>Dry channel. Upstream channel not well defined. Slope of stream estimated. Unlikely fish bearing. 17:20</t>
  </si>
  <si>
    <t>Bridge. 17:38</t>
  </si>
  <si>
    <t>No water flowing however pools of stagnant water throughout. Culvert bent in the middle and appears to have some substrate and stagnant water in the middle. 17:49</t>
  </si>
  <si>
    <t>McRea Creek</t>
  </si>
  <si>
    <t>Ford. 13:01</t>
  </si>
  <si>
    <t>Ford. 13:21</t>
  </si>
  <si>
    <t>Small stream, trickling at current water level. 11:44</t>
  </si>
  <si>
    <t>Dry channel. 13:53</t>
  </si>
  <si>
    <t>Tributary to Thaultil River</t>
  </si>
  <si>
    <t>Fish sighted in outlet pool. Nice little stream, some habitat value. Water flowing below culvert a little. 14:32</t>
  </si>
  <si>
    <t>Upstream channel is partially subsurface below mossy vegetation. Mostly dry with powder pools, huge OD. Downstream channel a bit bigger with larger pools. Creek not flowing. 16:11</t>
  </si>
  <si>
    <t>Culvert 100% covered by mud from beaver activity, otherwise would be flowing through backwatered. Outlet 100% backwatered almost covering culvert in water. Large wetland complex upstream. Infrastructure looks old and in poor shape, retaining wall / cement block tipping over on outlet. Slop estimated based on backwatered status. Additional culvert ~75m down the road to deal with flooding. 17:53</t>
  </si>
  <si>
    <t>Old rail can deck, now bridge. Owner says nothing else downstream. 8:55</t>
  </si>
  <si>
    <t>Concrete Box</t>
  </si>
  <si>
    <t>2 concrete box. Not backwatered but fully wetted due to slow flowing water. Stream slope estimated. Lake/wetland habitat upstream, flowing very slowly through, assuming the crossing is embedded or an open bottom. Appears to be fish friendly. Length was taken with rangefinder. 11:13</t>
  </si>
  <si>
    <t>Ford. 12:47</t>
  </si>
  <si>
    <t>Owens Creek</t>
  </si>
  <si>
    <t>Waypoint WP381. 12:47</t>
  </si>
  <si>
    <t>Nice gravels. Some flow at this dry time of year. Small system with Dolly Varden noted downstream. 12:26</t>
  </si>
  <si>
    <t>Bridge. 13:22</t>
  </si>
  <si>
    <t>Unlikely fish habitat. Culvert pool does not drain into obvious channel most likely wetlands. 14:45</t>
  </si>
  <si>
    <t>Small stream. Minimal flow - not dry. Steep downstream of culvert. 80cm steps, good gravels. 15:22</t>
  </si>
  <si>
    <t>ID is 2021090601 in the photos. 16:03</t>
  </si>
  <si>
    <t>Dry, difficult to find the channel upstream. 16:30</t>
  </si>
  <si>
    <t>Cannot locate outlet. Not likely fish habitat. Seasonal wetland. 17:00</t>
  </si>
  <si>
    <t>Upstream wetland appears shallow. Flown with drone. Could not locate inlet. Culvert damaged with 24cm tree lodged in it. Slope estimated as black barrel. 17:30</t>
  </si>
  <si>
    <t>Pipe arch. 12:33</t>
  </si>
  <si>
    <t>Concrete structure. Many 30-40mm fry. 2.5m open bottom structure end or pipe. 18:08</t>
  </si>
  <si>
    <t>down stream channel follows ditch line, dry channel.</t>
  </si>
  <si>
    <t>rock retaining wall (hand built), wood culvert, mainline, post code logging</t>
  </si>
  <si>
    <t>Overgrown road, wood box culvert complete blockage, access required to deactivate/restore channel</t>
  </si>
  <si>
    <t>old wooden bridge, overgrown failed into stream channel, not a barrier but providing structure for aquatics/fish, dry channel, old pre-code logging</t>
  </si>
  <si>
    <t>Al #03, post code recent build</t>
  </si>
  <si>
    <t>Post Code</t>
  </si>
  <si>
    <t>Dry channel, Post Code</t>
  </si>
  <si>
    <t>Inlet 35cm above channel, inlet and outlet damaged by cows, Post Code</t>
  </si>
  <si>
    <t>pooled water above crossing, pre code road, post code culvert</t>
  </si>
  <si>
    <t>Water in channel (pooled) above and below, Post Code</t>
  </si>
  <si>
    <t>Bridge, 2 layers of sediment/erosion control cloth on and adjacent to bridge - installation by pipeline company</t>
  </si>
  <si>
    <t>Deactivated spur, dry channel</t>
  </si>
  <si>
    <t>Dry channel</t>
  </si>
  <si>
    <t>Flowing water in channel up and down stream, Inlet 75% blocked by debris and sediment</t>
  </si>
  <si>
    <t>Tributary to Collins Lake</t>
  </si>
  <si>
    <t>Wood Box Culvert</t>
  </si>
  <si>
    <t>07 Road</t>
  </si>
  <si>
    <t>08 Road</t>
  </si>
  <si>
    <t>7 Road</t>
  </si>
  <si>
    <t>Historic side channel for fish passage not functioning. 17:47</t>
  </si>
  <si>
    <t>Inlet drop 0.07m. Nice flowing stream. Lots of fill. Rocks at outlet increase challenge for upstream movement. 11:38</t>
  </si>
  <si>
    <t>Habitat confirmation conducted.  Fish observed (150mm). Good flows when compared to many other streams. 9:25</t>
  </si>
  <si>
    <t>Water flowing in channel up and down stream.</t>
  </si>
  <si>
    <t>dry channel, post code. Width estimated.</t>
  </si>
  <si>
    <t>Canadian National</t>
  </si>
  <si>
    <t>Unclassified</t>
  </si>
  <si>
    <t>MoTi Local</t>
  </si>
  <si>
    <t>Resource</t>
  </si>
  <si>
    <t>FLNR DND 7735</t>
  </si>
  <si>
    <t>Unknown</t>
  </si>
  <si>
    <t>Canfor R04078</t>
  </si>
  <si>
    <t>FLNR DND 9785</t>
  </si>
  <si>
    <t>Canfor R06951</t>
  </si>
  <si>
    <t>Canfor R10644</t>
  </si>
  <si>
    <t>Canfor R08817</t>
  </si>
  <si>
    <t>Houston Highway</t>
  </si>
  <si>
    <t>Canfor R10640</t>
  </si>
  <si>
    <t>West Fraser R05232</t>
  </si>
  <si>
    <t>FLNR DND 9946</t>
  </si>
  <si>
    <t>Charles Priest R20078</t>
  </si>
  <si>
    <t>Solid Ground R12370</t>
  </si>
  <si>
    <t>FLNR DND 4656</t>
  </si>
  <si>
    <t>Highway</t>
  </si>
  <si>
    <t>Chinook Comfor R21201</t>
  </si>
  <si>
    <t>Canfor R07593</t>
  </si>
  <si>
    <t>Canfor R10645</t>
  </si>
  <si>
    <t>West Fraser R03753</t>
  </si>
  <si>
    <t>Canfor R08826</t>
  </si>
  <si>
    <t>MoTi Arterial</t>
  </si>
  <si>
    <t>Canfor R05233</t>
  </si>
  <si>
    <t>Canfor R06460</t>
  </si>
  <si>
    <t>Canfor R10987</t>
  </si>
  <si>
    <t>Deactivated road - no structure.</t>
  </si>
  <si>
    <t>Bridge at outflow of Conrad Lake, on Bulkley River. Access via Mulligan road, then start of Raymond Road. 14:08</t>
  </si>
  <si>
    <t>Channel mostly dry. Pool at inlet and another 30m upstream. Water depth 22cm at inlet. Pool at outlet and water throughout culvert. Open bottomed pipe arch. Looks very passable. Additional closed bottom structure higher and beside (river right), doesn't appear to get use. 15:56</t>
  </si>
  <si>
    <t>Outlet drop 0.3m. Outlet buried with rip rap fallen from road and surrounding armour. 15:37</t>
  </si>
  <si>
    <t>Wetland habitat on both sides of crossing. Inlet hard to find, has major vegetation growth coming out of it and is ~1m higher than upstream substrate. Channel dry, likely backwatered for spring flow. 16:38</t>
  </si>
  <si>
    <t>No beaver activity observed but suspected beaver dam upstream due to slow/low flow, and reddish brown algae observed at other beaver site. Inlet drop 0.27. Backwatered a little with pool downstream. Slope tough due to big bend in middle of culvert. 16:04</t>
  </si>
  <si>
    <t>Toboggan Creek</t>
  </si>
  <si>
    <t>stream diverted onto road for approximately 500m - between 'modelled crossing Ids' 1014000022 and 1014000256, remove structure and restore to original channel, old pre-code logging</t>
  </si>
  <si>
    <t>No channel found downstream. Not fish habitat. No channel upstream either. 15:28</t>
  </si>
  <si>
    <t>Replace Structure with Streambed Simulation CBS</t>
  </si>
  <si>
    <t>Replace with New Open Bottom Structure</t>
  </si>
  <si>
    <t>No crossing actually exists in the field however site entered as a placeholder because there should be connection between Bulkley and Cesford at this location.  Survey found no culvert and landowner reported none present. 11:22</t>
  </si>
  <si>
    <t>Crossing does not exist on railway.  Site entered as a placeholder because there should be connection. Surveyed above and below modelled crossing.  There is ephemeral channel upstream of the railway that is directed to go along the railway in ditch and quickly dissipates into shrubs and grasses. 12:19</t>
  </si>
  <si>
    <t>Pipe arch. Mis-labelled as 14000013 (upstream modelled crossing) which has been removed.  17:39</t>
  </si>
  <si>
    <t>2 washed out CV's below. 13:20</t>
  </si>
  <si>
    <t>Bridge. 13:47</t>
  </si>
  <si>
    <t>Tributary to Owen Creek</t>
  </si>
  <si>
    <t>Very nice gravels. Some flow. Passable currently but may by higher velocity at higher flows. 8:59</t>
  </si>
  <si>
    <t>Beaver clogged inlet, with potentially a beaver lodge built on it. No water flowing through. Culvert broken in several places. Looks like old beaver fence on inlet, not effective. Large wetland upstream and downstream. 16:02</t>
  </si>
  <si>
    <t>Bridge. 14:31</t>
  </si>
  <si>
    <t>Bridge. 13:24</t>
  </si>
  <si>
    <t>00180607</t>
  </si>
  <si>
    <t>Al Irvine</t>
  </si>
  <si>
    <t>250-777-1518</t>
  </si>
  <si>
    <t>al@newgraphenvironment.com</t>
  </si>
  <si>
    <t>186987</t>
  </si>
  <si>
    <t>OTHER</t>
  </si>
  <si>
    <t>Cover Page</t>
  </si>
  <si>
    <t>The supplied value of '' is not valid for Project Number.</t>
  </si>
  <si>
    <t>PSCIS Images</t>
  </si>
  <si>
    <t>An error occured locating the image Folder C:\Users\allan\OneDrive\New_Graph\Current\2021-034-hctf-bulkley-fish-passage\scripts\fish_passage_skeena_2021_reporting\data\1805532. This folder must be located in the same directory as this submission sheet, and have the same name as the project '1805532'. Please ensure this folder exists.</t>
  </si>
  <si>
    <t>An error occured locating the image Folder C:\Users\allan\OneDrive\New_Graph\Current\2021-034-hctf-bulkley-fish-passage\scripts\fish_passage_skeena_2021_reporting\data\1801185. This folder must be located in the same directory as this submission sheet, and have the same name as the project '1801185'. Please ensure this folder exists.</t>
  </si>
  <si>
    <t>An error occured locating the image Folder C:\Users\allan\OneDrive\New_Graph\Current\2021-034-hctf-bulkley-fish-passage\scripts\fish_passage_skeena_2021_reporting\data\1800360. This folder must be located in the same directory as this submission sheet, and have the same name as the project '1800360'. Please ensure this folder exists.</t>
  </si>
  <si>
    <t>An error occured locating the image Folder C:\Users\allan\OneDrive\New_Graph\Current\2021-034-hctf-bulkley-fish-passage\scripts\fish_passage_skeena_2021_reporting\data\1800180. This folder must be located in the same directory as this submission sheet, and have the same name as the project '1800180'. Please ensure this folder exists.</t>
  </si>
  <si>
    <t>An error occured locating the image Folder C:\Users\allan\OneDrive\New_Graph\Current\2021-034-hctf-bulkley-fish-passage\scripts\fish_passage_skeena_2021_reporting\data\1800372. This folder must be located in the same directory as this submission sheet, and have the same name as the project '1800372'. Please ensure this folder exists.</t>
  </si>
  <si>
    <t>An error occured locating the image Folder C:\Users\allan\OneDrive\New_Graph\Current\2021-034-hctf-bulkley-fish-passage\scripts\fish_passage_skeena_2021_reporting\data\1803682. This folder must be located in the same directory as this submission sheet, and have the same name as the project '1803682'. Please ensure this folder exists.</t>
  </si>
  <si>
    <t>An error occured locating the image Folder C:\Users\allan\OneDrive\New_Graph\Current\2021-034-hctf-bulkley-fish-passage\scripts\fish_passage_skeena_2021_reporting\data\1803706. This folder must be located in the same directory as this submission sheet, and have the same name as the project '1803706'. Please ensure this folder exists.</t>
  </si>
  <si>
    <t>An error occured locating the image Folder C:\Users\allan\OneDrive\New_Graph\Current\2021-034-hctf-bulkley-fish-passage\scripts\fish_passage_skeena_2021_reporting\data\1802611. This folder must be located in the same directory as this submission sheet, and have the same name as the project '1802611'. Please ensure this folder exists.</t>
  </si>
  <si>
    <t>An error occured locating the image Folder C:\Users\allan\OneDrive\New_Graph\Current\2021-034-hctf-bulkley-fish-passage\scripts\fish_passage_skeena_2021_reporting\data\1803697. This folder must be located in the same directory as this submission sheet, and have the same name as the project '1803697'. Please ensure this folder exists.</t>
  </si>
  <si>
    <t>An error occured locating the image Folder C:\Users\allan\OneDrive\New_Graph\Current\2021-034-hctf-bulkley-fish-passage\scripts\fish_passage_skeena_2021_reporting\data\1804693. This folder must be located in the same directory as this submission sheet, and have the same name as the project '1804693'. Please ensure this folder exists.</t>
  </si>
  <si>
    <t>An error occured locating the image Folder C:\Users\allan\OneDrive\New_Graph\Current\2021-034-hctf-bulkley-fish-passage\scripts\fish_passage_skeena_2021_reporting\data\1804694. This folder must be located in the same directory as this submission sheet, and have the same name as the project '1804694'. Please ensure this folder exists.</t>
  </si>
  <si>
    <t>An error occured locating the image Folder C:\Users\allan\OneDrive\New_Graph\Current\2021-034-hctf-bulkley-fish-passage\scripts\fish_passage_skeena_2021_reporting\data\2021083003. This folder must be located in the same directory as this submission sheet, and have the same name as the project '2021083003'. Please ensure this folder exists.</t>
  </si>
  <si>
    <t>An error occured locating the image Folder C:\Users\allan\OneDrive\New_Graph\Current\2021-034-hctf-bulkley-fish-passage\scripts\fish_passage_skeena_2021_reporting\data\1802106. This folder must be located in the same directory as this submission sheet, and have the same name as the project '1802106'. Please ensure this folder exists.</t>
  </si>
  <si>
    <t>An error occured locating the image Folder C:\Users\allan\OneDrive\New_Graph\Current\2021-034-hctf-bulkley-fish-passage\scripts\fish_passage_skeena_2021_reporting\data\1802088. This folder must be located in the same directory as this submission sheet, and have the same name as the project '1802088'. Please ensure this folder exists.</t>
  </si>
  <si>
    <t>An error occured locating the image Folder C:\Users\allan\OneDrive\New_Graph\Current\2021-034-hctf-bulkley-fish-passage\scripts\fish_passage_skeena_2021_reporting\data\1802089. This folder must be located in the same directory as this submission sheet, and have the same name as the project '1802089'. Please ensure this folder exists.</t>
  </si>
  <si>
    <t>An error occured locating the image Folder C:\Users\allan\OneDrive\New_Graph\Current\2021-034-hctf-bulkley-fish-passage\scripts\fish_passage_skeena_2021_reporting\data\14000613. This folder must be located in the same directory as this submission sheet, and have the same name as the project '14000613'. Please ensure this folder exists.</t>
  </si>
  <si>
    <t>An error occured locating the image Folder C:\Users\allan\OneDrive\New_Graph\Current\2021-034-hctf-bulkley-fish-passage\scripts\fish_passage_skeena_2021_reporting\data\14000621. This folder must be located in the same directory as this submission sheet, and have the same name as the project '14000621'. Please ensure this folder exists.</t>
  </si>
  <si>
    <t>An error occured locating the image Folder C:\Users\allan\OneDrive\New_Graph\Current\2021-034-hctf-bulkley-fish-passage\scripts\fish_passage_skeena_2021_reporting\data\14000614. This folder must be located in the same directory as this submission sheet, and have the same name as the project '14000614'. Please ensure this folder exists.</t>
  </si>
  <si>
    <t>An error occured locating the image Folder C:\Users\allan\OneDrive\New_Graph\Current\2021-034-hctf-bulkley-fish-passage\scripts\fish_passage_skeena_2021_reporting\data\14000944. This folder must be located in the same directory as this submission sheet, and have the same name as the project '14000944'. Please ensure this folder exists.</t>
  </si>
  <si>
    <t>An error occured locating the image Folder C:\Users\allan\OneDrive\New_Graph\Current\2021-034-hctf-bulkley-fish-passage\scripts\fish_passage_skeena_2021_reporting\data\14001249. This folder must be located in the same directory as this submission sheet, and have the same name as the project '14001249'. Please ensure this folder exists.</t>
  </si>
  <si>
    <t>An error occured locating the image Folder C:\Users\allan\OneDrive\New_Graph\Current\2021-034-hctf-bulkley-fish-passage\scripts\fish_passage_skeena_2021_reporting\data\14000725. This folder must be located in the same directory as this submission sheet, and have the same name as the project '14000725'. Please ensure this folder exists.</t>
  </si>
  <si>
    <t>An error occured locating the image Folder C:\Users\allan\OneDrive\New_Graph\Current\2021-034-hctf-bulkley-fish-passage\scripts\fish_passage_skeena_2021_reporting\data\14001542. This folder must be located in the same directory as this submission sheet, and have the same name as the project '14001542'. Please ensure this folder exists.</t>
  </si>
  <si>
    <t>An error occured locating the image Folder C:\Users\allan\OneDrive\New_Graph\Current\2021-034-hctf-bulkley-fish-passage\scripts\fish_passage_skeena_2021_reporting\data\14000828. This folder must be located in the same directory as this submission sheet, and have the same name as the project '14000828'. Please ensure this folder exists.</t>
  </si>
  <si>
    <t>An error occured locating the image Folder C:\Users\allan\OneDrive\New_Graph\Current\2021-034-hctf-bulkley-fish-passage\scripts\fish_passage_skeena_2021_reporting\data\14000949. This folder must be located in the same directory as this submission sheet, and have the same name as the project '14000949'. Please ensure this folder exists.</t>
  </si>
  <si>
    <t>An error occured locating the image Folder C:\Users\allan\OneDrive\New_Graph\Current\2021-034-hctf-bulkley-fish-passage\scripts\fish_passage_skeena_2021_reporting\data\14000954. This folder must be located in the same directory as this submission sheet, and have the same name as the project '14000954'. Please ensure this folder exists.</t>
  </si>
  <si>
    <t>An error occured locating the image Folder C:\Users\allan\OneDrive\New_Graph\Current\2021-034-hctf-bulkley-fish-passage\scripts\fish_passage_skeena_2021_reporting\data\14000908. This folder must be located in the same directory as this submission sheet, and have the same name as the project '14000908'. Please ensure this folder exists.</t>
  </si>
  <si>
    <t>An error occured locating the image Folder C:\Users\allan\OneDrive\New_Graph\Current\2021-034-hctf-bulkley-fish-passage\scripts\fish_passage_skeena_2021_reporting\data\14001002. This folder must be located in the same directory as this submission sheet, and have the same name as the project '14001002'. Please ensure this folder exists.</t>
  </si>
  <si>
    <t>An error occured locating the image Folder C:\Users\allan\OneDrive\New_Graph\Current\2021-034-hctf-bulkley-fish-passage\scripts\fish_passage_skeena_2021_reporting\data\14001000. This folder must be located in the same directory as this submission sheet, and have the same name as the project '14001000'. Please ensure this folder exists.</t>
  </si>
  <si>
    <t>An error occured locating the image Folder C:\Users\allan\OneDrive\New_Graph\Current\2021-034-hctf-bulkley-fish-passage\scripts\fish_passage_skeena_2021_reporting\data\14000997. This folder must be located in the same directory as this submission sheet, and have the same name as the project '14000997'. Please ensure this folder exists.</t>
  </si>
  <si>
    <t>An error occured locating the image Folder C:\Users\allan\OneDrive\New_Graph\Current\2021-034-hctf-bulkley-fish-passage\scripts\fish_passage_skeena_2021_reporting\data\14000988. This folder must be located in the same directory as this submission sheet, and have the same name as the project '14000988'. Please ensure this folder exists.</t>
  </si>
  <si>
    <t>An error occured locating the image Folder C:\Users\allan\OneDrive\New_Graph\Current\2021-034-hctf-bulkley-fish-passage\scripts\fish_passage_skeena_2021_reporting\data\14000931. This folder must be located in the same directory as this submission sheet, and have the same name as the project '14000931'. Please ensure this folder exists.</t>
  </si>
  <si>
    <t>The supplied value of '' is not valid for Backwatered Indicator. Backwatered Indicator must be  supplied if the stream crossing type is Closed Bottom Structure. The value must be Yes or No.</t>
  </si>
  <si>
    <t>An error occured locating the image Folder C:\Users\allan\OneDrive\New_Graph\Current\2021-034-hctf-bulkley-fish-passage\scripts\fish_passage_skeena_2021_reporting\data\14000932. This folder must be located in the same directory as this submission sheet, and have the same name as the project '14000932'. Please ensure this folder exists.</t>
  </si>
  <si>
    <t>An error occured locating the image Folder C:\Users\allan\OneDrive\New_Graph\Current\2021-034-hctf-bulkley-fish-passage\scripts\fish_passage_skeena_2021_reporting\data\14001721. This folder must be located in the same directory as this submission sheet, and have the same name as the project '14001721'. Please ensure this folder exists.</t>
  </si>
  <si>
    <t>An error occured locating the image Folder C:\Users\allan\OneDrive\New_Graph\Current\2021-034-hctf-bulkley-fish-passage\scripts\fish_passage_skeena_2021_reporting\data\14001775. This folder must be located in the same directory as this submission sheet, and have the same name as the project '14001775'. Please ensure this folder exists.</t>
  </si>
  <si>
    <t>The supplied value of '' is not valid for Inlet Drop Indicator. Inlet Drop Indicator must be  supplied if the stream crossing type is Closed Bottom Structure. The value must be Yes or No.</t>
  </si>
  <si>
    <t>An error occured locating the image Folder C:\Users\allan\OneDrive\New_Graph\Current\2021-034-hctf-bulkley-fish-passage\scripts\fish_passage_skeena_2021_reporting\data\14001414. This folder must be located in the same directory as this submission sheet, and have the same name as the project '14001414'. Please ensure this folder exists.</t>
  </si>
  <si>
    <t>An error occured locating the image Folder C:\Users\allan\OneDrive\New_Graph\Current\2021-034-hctf-bulkley-fish-passage\scripts\fish_passage_skeena_2021_reporting\data\14001411. This folder must be located in the same directory as this submission sheet, and have the same name as the project '14001411'. Please ensure this folder exists.</t>
  </si>
  <si>
    <t>An error occured locating the image Folder C:\Users\allan\OneDrive\New_Graph\Current\2021-034-hctf-bulkley-fish-passage\scripts\fish_passage_skeena_2021_reporting\data\2021090299. This folder must be located in the same directory as this submission sheet, and have the same name as the project '2021090299'. Please ensure this folder exists.</t>
  </si>
  <si>
    <t>The supplied value of '' is not valid for Outlet Pool Depth. Outlet Pool Depth must be supplied if the stream crossing type is Closed Bottom Structure. The value supplied must be &gt;= 0 and &lt;=9.99 meters.</t>
  </si>
  <si>
    <t>The supplied value of '' is not valid for Fish Observed Indicator.  Fish Observed Indicator must be  supplied if the stream crossing type is Closed Bottom Structure. The value must be Yes or No.</t>
  </si>
  <si>
    <t>An error occured locating the image Folder C:\Users\allan\OneDrive\New_Graph\Current\2021-034-hctf-bulkley-fish-passage\scripts\fish_passage_skeena_2021_reporting\data\14000536. This folder must be located in the same directory as this submission sheet, and have the same name as the project '14000536'. Please ensure this folder exists.</t>
  </si>
  <si>
    <t>An error occured locating the image Folder C:\Users\allan\OneDrive\New_Graph\Current\2021-034-hctf-bulkley-fish-passage\scripts\fish_passage_skeena_2021_reporting\data\14000453. This folder must be located in the same directory as this submission sheet, and have the same name as the project '14000453'. Please ensure this folder exists.</t>
  </si>
  <si>
    <t>An error occured locating the image Folder C:\Users\allan\OneDrive\New_Graph\Current\2021-034-hctf-bulkley-fish-passage\scripts\fish_passage_skeena_2021_reporting\data\2021090202. This folder must be located in the same directory as this submission sheet, and have the same name as the project '2021090202'. Please ensure this folder exists.</t>
  </si>
  <si>
    <t>An error occured locating the image Folder C:\Users\allan\OneDrive\New_Graph\Current\2021-034-hctf-bulkley-fish-passage\scripts\fish_passage_skeena_2021_reporting\data\14000312. This folder must be located in the same directory as this submission sheet, and have the same name as the project '14000312'. Please ensure this folder exists.</t>
  </si>
  <si>
    <t>An error occured locating the image Folder C:\Users\allan\OneDrive\New_Graph\Current\2021-034-hctf-bulkley-fish-passage\scripts\fish_passage_skeena_2021_reporting\data\14000477. This folder must be located in the same directory as this submission sheet, and have the same name as the project '14000477'. Please ensure this folder exists.</t>
  </si>
  <si>
    <t>An error occured locating the image Folder C:\Users\allan\OneDrive\New_Graph\Current\2021-034-hctf-bulkley-fish-passage\scripts\fish_passage_skeena_2021_reporting\data\14000564. This folder must be located in the same directory as this submission sheet, and have the same name as the project '14000564'. Please ensure this folder exists.</t>
  </si>
  <si>
    <t>The supplied value of '' is not valid for Structure Diameter or Span. If stream crossing type is Closed Bottom Structure then the value supplied must be &gt; 0 and &lt;=9.99 meters. If stream crossing type is Open Bottom Structure then the value supplied must be &gt; 0 and &lt;=300 meters.</t>
  </si>
  <si>
    <t>The supplied value of '' is not valid for Structure Length. The value supplied must be &gt;0 and &lt;=99.0.</t>
  </si>
  <si>
    <t>An error occured locating the image Folder C:\Users\allan\OneDrive\New_Graph\Current\2021-034-hctf-bulkley-fish-passage\scripts\fish_passage_skeena_2021_reporting\data\14000689. This folder must be located in the same directory as this submission sheet, and have the same name as the project '14000689'. Please ensure this folder exists.</t>
  </si>
  <si>
    <t>An error occured locating the image Folder C:\Users\allan\OneDrive\New_Graph\Current\2021-034-hctf-bulkley-fish-passage\scripts\fish_passage_skeena_2021_reporting\data\14000695. This folder must be located in the same directory as this submission sheet, and have the same name as the project '14000695'. Please ensure this folder exists.</t>
  </si>
  <si>
    <t>An error occured locating the image Folder C:\Users\allan\OneDrive\New_Graph\Current\2021-034-hctf-bulkley-fish-passage\scripts\fish_passage_skeena_2021_reporting\data\14000684. This folder must be located in the same directory as this submission sheet, and have the same name as the project '14000684'. Please ensure this folder exists.</t>
  </si>
  <si>
    <t>The supplied value of '26' is not valid for Structure Diameter or Span. If stream crossing type is Closed Bottom Structure then the value supplied must be &gt; 0 and &lt;=9.99 meters. If stream crossing type is Open Bottom Structure then the value supplied must be &gt; 0 and &lt;=300 meters.</t>
  </si>
  <si>
    <t>An error occured locating the image Folder C:\Users\allan\OneDrive\New_Graph\Current\2021-034-hctf-bulkley-fish-passage\scripts\fish_passage_skeena_2021_reporting\data\14000678. This folder must be located in the same directory as this submission sheet, and have the same name as the project '14000678'. Please ensure this folder exists.</t>
  </si>
  <si>
    <t>An error occured locating the image Folder C:\Users\allan\OneDrive\New_Graph\Current\2021-034-hctf-bulkley-fish-passage\scripts\fish_passage_skeena_2021_reporting\data\14000680. This folder must be located in the same directory as this submission sheet, and have the same name as the project '14000680'. Please ensure this folder exists.</t>
  </si>
  <si>
    <t>An error occured locating the image Folder C:\Users\allan\OneDrive\New_Graph\Current\2021-034-hctf-bulkley-fish-passage\scripts\fish_passage_skeena_2021_reporting\data\14001323. This folder must be located in the same directory as this submission sheet, and have the same name as the project '14001323'. Please ensure this folder exists.</t>
  </si>
  <si>
    <t>An error occured locating the image Folder C:\Users\allan\OneDrive\New_Graph\Current\2021-034-hctf-bulkley-fish-passage\scripts\fish_passage_skeena_2021_reporting\data\2021090303. This folder must be located in the same directory as this submission sheet, and have the same name as the project '2021090303'. Please ensure this folder exists.</t>
  </si>
  <si>
    <t>An error occured locating the image Folder C:\Users\allan\OneDrive\New_Graph\Current\2021-034-hctf-bulkley-fish-passage\scripts\fish_passage_skeena_2021_reporting\data\2021090399. This folder must be located in the same directory as this submission sheet, and have the same name as the project '2021090399'. Please ensure this folder exists.</t>
  </si>
  <si>
    <t>An error occured locating the image Folder C:\Users\allan\OneDrive\New_Graph\Current\2021-034-hctf-bulkley-fish-passage\scripts\fish_passage_skeena_2021_reporting\data\14001177. This folder must be located in the same directory as this submission sheet, and have the same name as the project '14001177'. Please ensure this folder exists.</t>
  </si>
  <si>
    <t>An error occured locating the image Folder C:\Users\allan\OneDrive\New_Graph\Current\2021-034-hctf-bulkley-fish-passage\scripts\fish_passage_skeena_2021_reporting\data\14000690. This folder must be located in the same directory as this submission sheet, and have the same name as the project '14000690'. Please ensure this folder exists.</t>
  </si>
  <si>
    <t>An error occured locating the image Folder C:\Users\allan\OneDrive\New_Graph\Current\2021-034-hctf-bulkley-fish-passage\scripts\fish_passage_skeena_2021_reporting\data\14001563. This folder must be located in the same directory as this submission sheet, and have the same name as the project '14001563'. Please ensure this folder exists.</t>
  </si>
  <si>
    <t>The supplied value of '' is not valid for Resemble Channel Indicator. Resemble Channel Indicator must be  supplied if the stream crossing type is Closed Bottom Structure. The value must be Yes or No.</t>
  </si>
  <si>
    <t>The supplied value of '' is not valid for Crossing Fix Code. Crossing Fix Code must be supplied if the stream crossing type is a barrier or potential barrier. The code supplied must be from the approved list.</t>
  </si>
  <si>
    <t>The supplied value of '' is not valid for Recommended Diameter or Span. The Recommended Diameter or Span must be &gt;= 0.</t>
  </si>
  <si>
    <t>An error occured locating the image Folder C:\Users\allan\OneDrive\New_Graph\Current\2021-034-hctf-bulkley-fish-passage\scripts\fish_passage_skeena_2021_reporting\data\14000696. This folder must be located in the same directory as this submission sheet, and have the same name as the project '14000696'. Please ensure this folder exists.</t>
  </si>
  <si>
    <t>An error occured locating the image Folder C:\Users\allan\OneDrive\New_Graph\Current\2021-034-hctf-bulkley-fish-passage\scripts\fish_passage_skeena_2021_reporting\data\1800422. This folder must be located in the same directory as this submission sheet, and have the same name as the project '1800422'. Please ensure this folder exists.</t>
  </si>
  <si>
    <t>An error occured locating the image Folder C:\Users\allan\OneDrive\New_Graph\Current\2021-034-hctf-bulkley-fish-passage\scripts\fish_passage_skeena_2021_reporting\data\1801133. This folder must be located in the same directory as this submission sheet, and have the same name as the project '1801133'. Please ensure this folder exists.</t>
  </si>
  <si>
    <t>An error occured locating the image Folder C:\Users\allan\OneDrive\New_Graph\Current\2021-034-hctf-bulkley-fish-passage\scripts\fish_passage_skeena_2021_reporting\data\1801969. This folder must be located in the same directory as this submission sheet, and have the same name as the project '1801969'. Please ensure this folder exists.</t>
  </si>
  <si>
    <t>An error occured locating the image Folder C:\Users\allan\OneDrive\New_Graph\Current\2021-034-hctf-bulkley-fish-passage\scripts\fish_passage_skeena_2021_reporting\data\1803828. This folder must be located in the same directory as this submission sheet, and have the same name as the project '1803828'. Please ensure this folder exists.</t>
  </si>
  <si>
    <t>An error occured locating the image Folder C:\Users\allan\OneDrive\New_Graph\Current\2021-034-hctf-bulkley-fish-passage\scripts\fish_passage_skeena_2021_reporting\data\1804238. This folder must be located in the same directory as this submission sheet, and have the same name as the project '1804238'. Please ensure this folder exists.</t>
  </si>
  <si>
    <t>The supplied value of '' is not valid for Downstream Channel Width. Downstream Channel Width must be supplied if the stream crossing type is Closed Bottom Structure. The value supplied must be &gt;= 0 and &lt;=50.</t>
  </si>
  <si>
    <t>The supplied value of '' is not valid for Stream Slope. Stream Slope must be supplied if the stream crossing type is Closed Bottom Structure. The value supplied must be &gt;= 0 and &lt;=99.</t>
  </si>
  <si>
    <t>An error occured locating the image Folder C:\Users\allan\OneDrive\New_Graph\Current\2021-034-hctf-bulkley-fish-passage\scripts\fish_passage_skeena_2021_reporting\data\24704566. This folder must be located in the same directory as this submission sheet, and have the same name as the project '24704566'. Please ensure this folder exists.</t>
  </si>
  <si>
    <t>An error occured locating the image Folder C:\Users\allan\OneDrive\New_Graph\Current\2021-034-hctf-bulkley-fish-passage\scripts\fish_passage_skeena_2021_reporting\data\1805496. This folder must be located in the same directory as this submission sheet, and have the same name as the project '1805496'. Please ensure this folder exists.</t>
  </si>
  <si>
    <t>An error occured locating the image Folder C:\Users\allan\OneDrive\New_Graph\Current\2021-034-hctf-bulkley-fish-passage\scripts\fish_passage_skeena_2021_reporting\data\14000798. This folder must be located in the same directory as this submission sheet, and have the same name as the project '14000798'. Please ensure this folder exists.</t>
  </si>
  <si>
    <t>A Crossing Subtype is required. Please enter the Crossing Subtype</t>
  </si>
  <si>
    <t>The supplied value of '' is not valid for Fill Depth. Fill Depth must be supplied if the stream crossing type is Closed Bottom Structure. The value supplied must be &gt;= 0 and &lt;=9.99 meters.</t>
  </si>
  <si>
    <t>An error occured locating the image Folder C:\Users\allan\OneDrive\New_Graph\Current\2021-034-hctf-bulkley-fish-passage\scripts\fish_passage_skeena_2021_reporting\data\1805531. This folder must be located in the same directory as this submission sheet, and have the same name as the project '1805531'. Please ensure this folder exists.</t>
  </si>
  <si>
    <t>An error occured locating the image Folder C:\Users\allan\OneDrive\New_Graph\Current\2021-034-hctf-bulkley-fish-passage\scripts\fish_passage_skeena_2021_reporting\data\1805529. This folder must be located in the same directory as this submission sheet, and have the same name as the project '1805529'. Please ensure this folder exists.</t>
  </si>
  <si>
    <t>An error occured locating the image Folder C:\Users\allan\OneDrive\New_Graph\Current\2021-034-hctf-bulkley-fish-passage\scripts\fish_passage_skeena_2021_reporting\data\2021083150. This folder must be located in the same directory as this submission sheet, and have the same name as the project '2021083150'. Please ensure this folder exists.</t>
  </si>
  <si>
    <t>An error occured locating the image Folder C:\Users\allan\OneDrive\New_Graph\Current\2021-034-hctf-bulkley-fish-passage\scripts\fish_passage_skeena_2021_reporting\data\1800049. This folder must be located in the same directory as this submission sheet, and have the same name as the project '1800049'. Please ensure this folder exists.</t>
  </si>
  <si>
    <t>An error occured locating the image Folder C:\Users\allan\OneDrive\New_Graph\Current\2021-034-hctf-bulkley-fish-passage\scripts\fish_passage_skeena_2021_reporting\data\1800050. This folder must be located in the same directory as this submission sheet, and have the same name as the project '1800050'. Please ensure this folder exists.</t>
  </si>
  <si>
    <t>An error occured locating the image Folder C:\Users\allan\OneDrive\New_Graph\Current\2021-034-hctf-bulkley-fish-passage\scripts\fish_passage_skeena_2021_reporting\data\1801117. This folder must be located in the same directory as this submission sheet, and have the same name as the project '1801117'. Please ensure this folder exists.</t>
  </si>
  <si>
    <t>An error occured locating the image Folder C:\Users\allan\OneDrive\New_Graph\Current\2021-034-hctf-bulkley-fish-passage\scripts\fish_passage_skeena_2021_reporting\data\1800583. This folder must be located in the same directory as this submission sheet, and have the same name as the project '1800583'. Please ensure this folder exists.</t>
  </si>
  <si>
    <t>An error occured locating the image Folder C:\Users\allan\OneDrive\New_Graph\Current\2021-034-hctf-bulkley-fish-passage\scripts\fish_passage_skeena_2021_reporting\data\1803813. This folder must be located in the same directory as this submission sheet, and have the same name as the project '1803813'. Please ensure this folder exists.</t>
  </si>
  <si>
    <t>An error occured locating the image Folder C:\Users\allan\OneDrive\New_Graph\Current\2021-034-hctf-bulkley-fish-passage\scripts\fish_passage_skeena_2021_reporting\data\1805000. This folder must be located in the same directory as this submission sheet, and have the same name as the project '1805000'. Please ensure this folder exists.</t>
  </si>
  <si>
    <t>An error occured locating the image Folder C:\Users\allan\OneDrive\New_Graph\Current\2021-034-hctf-bulkley-fish-passage\scripts\fish_passage_skeena_2021_reporting\data\1802040. This folder must be located in the same directory as this submission sheet, and have the same name as the project '1802040'. Please ensure this folder exists.</t>
  </si>
  <si>
    <t>An error occured locating the image Folder C:\Users\allan\OneDrive\New_Graph\Current\2021-034-hctf-bulkley-fish-passage\scripts\fish_passage_skeena_2021_reporting\data\1802039. This folder must be located in the same directory as this submission sheet, and have the same name as the project '1802039'. Please ensure this folder exists.</t>
  </si>
  <si>
    <t>An error occured locating the image Folder C:\Users\allan\OneDrive\New_Graph\Current\2021-034-hctf-bulkley-fish-passage\scripts\fish_passage_skeena_2021_reporting\data\1800356. This folder must be located in the same directory as this submission sheet, and have the same name as the project '1800356'. Please ensure this folder exists.</t>
  </si>
  <si>
    <t>An error occured locating the image Folder C:\Users\allan\OneDrive\New_Graph\Current\2021-034-hctf-bulkley-fish-passage\scripts\fish_passage_skeena_2021_reporting\data\1801122. This folder must be located in the same directory as this submission sheet, and have the same name as the project '1801122'. Please ensure this folder exists.</t>
  </si>
  <si>
    <t>An error occured locating the image Folder C:\Users\allan\OneDrive\New_Graph\Current\2021-034-hctf-bulkley-fish-passage\scripts\fish_passage_skeena_2021_reporting\data\1800355. This folder must be located in the same directory as this submission sheet, and have the same name as the project '1800355'. Please ensure this folder exists.</t>
  </si>
  <si>
    <t>An error occured locating the image Folder C:\Users\allan\OneDrive\New_Graph\Current\2021-034-hctf-bulkley-fish-passage\scripts\fish_passage_skeena_2021_reporting\data\2021090150. This folder must be located in the same directory as this submission sheet, and have the same name as the project '2021090150'. Please ensure this folder exists.</t>
  </si>
  <si>
    <t>An error occured locating the image Folder C:\Users\allan\OneDrive\New_Graph\Current\2021-034-hctf-bulkley-fish-passage\scripts\fish_passage_skeena_2021_reporting\data\14000935. This folder must be located in the same directory as this submission sheet, and have the same name as the project '14000935'. Please ensure this folder exists.</t>
  </si>
  <si>
    <t>An error occured locating the image Folder C:\Users\allan\OneDrive\New_Graph\Current\2021-034-hctf-bulkley-fish-passage\scripts\fish_passage_skeena_2021_reporting\data\14000934. This folder must be located in the same directory as this submission sheet, and have the same name as the project '14000934'. Please ensure this folder exists.</t>
  </si>
  <si>
    <t>An error occured locating the image Folder C:\Users\allan\OneDrive\New_Graph\Current\2021-034-hctf-bulkley-fish-passage\scripts\fish_passage_skeena_2021_reporting\data\14000956. This folder must be located in the same directory as this submission sheet, and have the same name as the project '14000956'. Please ensure this folder exists.</t>
  </si>
  <si>
    <t>An error occured locating the image Folder C:\Users\allan\OneDrive\New_Graph\Current\2021-034-hctf-bulkley-fish-passage\scripts\fish_passage_skeena_2021_reporting\data\14000951. This folder must be located in the same directory as this submission sheet, and have the same name as the project '14000951'. Please ensure this folder exists.</t>
  </si>
  <si>
    <t>An error occured locating the image Folder C:\Users\allan\OneDrive\New_Graph\Current\2021-034-hctf-bulkley-fish-passage\scripts\fish_passage_skeena_2021_reporting\data\14000941. This folder must be located in the same directory as this submission sheet, and have the same name as the project '14000941'. Please ensure this folder exists.</t>
  </si>
  <si>
    <t>An error occured locating the image Folder C:\Users\allan\OneDrive\New_Graph\Current\2021-034-hctf-bulkley-fish-passage\scripts\fish_passage_skeena_2021_reporting\data\14000488. This folder must be located in the same directory as this submission sheet, and have the same name as the project '14000488'. Please ensure this folder exists.</t>
  </si>
  <si>
    <t>An error occured locating the image Folder C:\Users\allan\OneDrive\New_Graph\Current\2021-034-hctf-bulkley-fish-passage\scripts\fish_passage_skeena_2021_reporting\data\14000503. This folder must be located in the same directory as this submission sheet, and have the same name as the project '14000503'. Please ensure this folder exists.</t>
  </si>
  <si>
    <t>An error occured locating the image Folder C:\Users\allan\OneDrive\New_Graph\Current\2021-034-hctf-bulkley-fish-passage\scripts\fish_passage_skeena_2021_reporting\data\14000500. This folder must be located in the same directory as this submission sheet, and have the same name as the project '14000500'. Please ensure this folder exists.</t>
  </si>
  <si>
    <t>An error occured locating the image Folder C:\Users\allan\OneDrive\New_Graph\Current\2021-034-hctf-bulkley-fish-passage\scripts\fish_passage_skeena_2021_reporting\data\14000495. This folder must be located in the same directory as this submission sheet, and have the same name as the project '14000495'. Please ensure this folder exists.</t>
  </si>
  <si>
    <t>An error occured locating the image Folder C:\Users\allan\OneDrive\New_Graph\Current\2021-034-hctf-bulkley-fish-passage\scripts\fish_passage_skeena_2021_reporting\data\14000421. This folder must be located in the same directory as this submission sheet, and have the same name as the project '14000421'. Please ensure this folder exists.</t>
  </si>
  <si>
    <t>An error occured locating the image Folder C:\Users\allan\OneDrive\New_Graph\Current\2021-034-hctf-bulkley-fish-passage\scripts\fish_passage_skeena_2021_reporting\data\14000505. This folder must be located in the same directory as this submission sheet, and have the same name as the project '14000505'. Please ensure this folder exists.</t>
  </si>
  <si>
    <t>An error occured locating the image Folder C:\Users\allan\OneDrive\New_Graph\Current\2021-034-hctf-bulkley-fish-passage\scripts\fish_passage_skeena_2021_reporting\data\14000801. This folder must be located in the same directory as this submission sheet, and have the same name as the project '14000801'. Please ensure this folder exists.</t>
  </si>
  <si>
    <t>An error occured locating the image Folder C:\Users\allan\OneDrive\New_Graph\Current\2021-034-hctf-bulkley-fish-passage\scripts\fish_passage_skeena_2021_reporting\data\14000490. This folder must be located in the same directory as this submission sheet, and have the same name as the project '14000490'. Please ensure this folder exists.</t>
  </si>
  <si>
    <t>An error occured locating the image Folder C:\Users\allan\OneDrive\New_Graph\Current\2021-034-hctf-bulkley-fish-passage\scripts\fish_passage_skeena_2021_reporting\data\14000506. This folder must be located in the same directory as this submission sheet, and have the same name as the project '14000506'. Please ensure this folder exists.</t>
  </si>
  <si>
    <t>An error occured locating the image Folder C:\Users\allan\OneDrive\New_Graph\Current\2021-034-hctf-bulkley-fish-passage\scripts\fish_passage_skeena_2021_reporting\data\2021090161. This folder must be located in the same directory as this submission sheet, and have the same name as the project '2021090161'. Please ensure this folder exists.</t>
  </si>
  <si>
    <t>An error occured locating the image Folder C:\Users\allan\OneDrive\New_Graph\Current\2021-034-hctf-bulkley-fish-passage\scripts\fish_passage_skeena_2021_reporting\data\14000494. This folder must be located in the same directory as this submission sheet, and have the same name as the project '14000494'. Please ensure this folder exists.</t>
  </si>
  <si>
    <t>An error occured locating the image Folder C:\Users\allan\OneDrive\New_Graph\Current\2021-034-hctf-bulkley-fish-passage\scripts\fish_passage_skeena_2021_reporting\data\14000481. This folder must be located in the same directory as this submission sheet, and have the same name as the project '14000481'. Please ensure this folder exists.</t>
  </si>
  <si>
    <t>An error occured locating the image Folder C:\Users\allan\OneDrive\New_Graph\Current\2021-034-hctf-bulkley-fish-passage\scripts\fish_passage_skeena_2021_reporting\data\14000486. This folder must be located in the same directory as this submission sheet, and have the same name as the project '14000486'. Please ensure this folder exists.</t>
  </si>
  <si>
    <t>Bulkley River and Morice River Watershed Groups Fish Passage Restoration Planning 2021 - Phase 1</t>
  </si>
  <si>
    <t>bulkley_2021_Phase1</t>
  </si>
  <si>
    <t>Dry. Channel partially covered in moss.  Very like flows for only short periods of the year. 16:18</t>
  </si>
  <si>
    <t>Temporary log bridge for ATVs. Within young cutblock. 11:51</t>
  </si>
  <si>
    <t>At modelled crossing location but no map label. Dry. 15:25</t>
  </si>
  <si>
    <t>Dry except small outlet pool. Cobble substrate. Some gravels present. 17:41</t>
  </si>
  <si>
    <t>Powerline ascend via Broman Lake road, does not have outlet drop but does have gentle height change that could be a challenge for passage. Channel upstream dry, downstream dry except 5-10cm pool. Salamander young found in outlet pool. 16:27</t>
  </si>
  <si>
    <t>Dry channel, difficult to locate channel upstream. Inlet drop 0.3m. Appears it could be backwatered when there is flow. Outlet partially embedded on &lt;3m in. 11:22</t>
  </si>
  <si>
    <t>Dry, hard to see channel. More of a maintenance culvert, completed due to fish data upstream. No real channel. Embedment is fines more erosional deposit. 12:30</t>
  </si>
  <si>
    <t>Dry channel, upstream slope estimated. Inlet drop 0.2m. Culvert slope difficult to get due to misshapen structure. Outlet embedded a little bit. 18:09</t>
  </si>
  <si>
    <t>Upstream sedge wetland looking habitat with distinct narrow channel. Outlet drop, and small pool. Small vegetation embedment. Stream trickling. Similar sedge / wetland habitat downstream. 16:46</t>
  </si>
  <si>
    <t>Dry channel. Upstream channel runs parallel to road, not well defined channel, appears very ephemeral. Downstream channel much more defined. Outlet partially embedded. 15:16</t>
  </si>
  <si>
    <t>Dry channel. Upstream channel heavily vegetated and goes below mossy structure 5m towards inlet. Outlet damaged and slightly misshapen. Large outlet pool but still minimal channel downstream that is partially vegetated, and goes under moss.  Culvert slope estimated afterwards as not recorded in field. 15:45</t>
  </si>
  <si>
    <t>Very small amount of flow. Some good gravels. Multiple FISS sites downstream with velocity barrier noted. Non-fish? 13:54</t>
  </si>
  <si>
    <t>Very low flow but channel is mostly watered. Abundant gravels and excellent vegetation cover. 15:58</t>
  </si>
  <si>
    <t>Udder View Farm. Currently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</si>
  <si>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 xml:space="preserve">Channel dry, Mainline - post code. </t>
  </si>
  <si>
    <t>channel dry, old overgrown road, pooled after observed upslope of culvert</t>
  </si>
  <si>
    <t>dry channel, crossing takes the ditch line flow as well resulting in downstream channel being larger than up stream, post-code logging</t>
  </si>
  <si>
    <t>Upstream channel contains some pooled water, up stream the stream is diverted down ditch line and over tops road 30m from old crossing. Pre Code logging. Span estimated.</t>
  </si>
  <si>
    <t>Confirm fish value, small intermittent streams with high habitat values? Post Code</t>
  </si>
  <si>
    <t>Channel has ponded water/wetland up and down stream - Post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</si>
</sst>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xf numFmtId="0" fontId="0" fillId="0" borderId="0" xfId="0"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I26" sqref="I26"/>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530</v>
      </c>
    </row>
    <row r="5" spans="1:20" x14ac:dyDescent="0.25">
      <c r="A5" s="4" t="s">
        <v>58</v>
      </c>
      <c r="B5" t="s">
        <v>529</v>
      </c>
    </row>
    <row r="6" spans="1:20" x14ac:dyDescent="0.25">
      <c r="A6" s="4"/>
      <c r="B6" s="118"/>
    </row>
    <row r="7" spans="1:20" x14ac:dyDescent="0.25">
      <c r="A7" s="4" t="s">
        <v>86</v>
      </c>
      <c r="B7" s="119" t="s">
        <v>410</v>
      </c>
    </row>
    <row r="8" spans="1:20" x14ac:dyDescent="0.25">
      <c r="A8" s="4" t="s">
        <v>73</v>
      </c>
      <c r="B8" t="s">
        <v>411</v>
      </c>
    </row>
    <row r="9" spans="1:20" x14ac:dyDescent="0.25">
      <c r="A9" s="4" t="s">
        <v>74</v>
      </c>
      <c r="B9" t="s">
        <v>412</v>
      </c>
    </row>
    <row r="10" spans="1:20" x14ac:dyDescent="0.25">
      <c r="A10" s="4" t="s">
        <v>75</v>
      </c>
      <c r="B10" s="120" t="s">
        <v>413</v>
      </c>
    </row>
    <row r="11" spans="1:20" x14ac:dyDescent="0.25">
      <c r="A11" s="4"/>
      <c r="B11" s="118"/>
    </row>
    <row r="12" spans="1:20" x14ac:dyDescent="0.25">
      <c r="A12" s="4" t="s">
        <v>36</v>
      </c>
      <c r="B12" s="119" t="s">
        <v>414</v>
      </c>
    </row>
    <row r="13" spans="1:20" x14ac:dyDescent="0.25">
      <c r="A13" s="4" t="s">
        <v>37</v>
      </c>
      <c r="B13" t="s">
        <v>411</v>
      </c>
    </row>
    <row r="14" spans="1:20" x14ac:dyDescent="0.25">
      <c r="A14" s="4" t="s">
        <v>38</v>
      </c>
      <c r="B14" t="s">
        <v>412</v>
      </c>
    </row>
    <row r="15" spans="1:20" x14ac:dyDescent="0.25">
      <c r="A15" s="4" t="s">
        <v>39</v>
      </c>
      <c r="B15" s="120" t="s">
        <v>413</v>
      </c>
    </row>
    <row r="16" spans="1:20" x14ac:dyDescent="0.25">
      <c r="A16" s="4"/>
      <c r="B16" s="118"/>
    </row>
    <row r="17" spans="1:2" x14ac:dyDescent="0.25">
      <c r="A17" s="4" t="s">
        <v>40</v>
      </c>
      <c r="B17">
        <v>50000</v>
      </c>
    </row>
    <row r="18" spans="1:2" x14ac:dyDescent="0.25">
      <c r="A18" s="4" t="s">
        <v>41</v>
      </c>
      <c r="B18" t="s">
        <v>415</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G1" zoomScale="115" zoomScaleNormal="115" workbookViewId="0">
      <pane ySplit="4" topLeftCell="A161" activePane="bottomLeft" state="frozen"/>
      <selection pane="bottomLeft" activeCell="R167" sqref="R16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44438</v>
      </c>
      <c r="B5" s="112"/>
      <c r="C5" s="116">
        <v>1805532</v>
      </c>
      <c r="D5" s="116" t="s">
        <v>92</v>
      </c>
      <c r="E5" s="77">
        <v>9</v>
      </c>
      <c r="F5" s="53">
        <v>685314.05808093795</v>
      </c>
      <c r="G5" s="51">
        <v>6030316.9592297003</v>
      </c>
      <c r="H5" s="11" t="s">
        <v>93</v>
      </c>
      <c r="I5" s="11" t="s">
        <v>94</v>
      </c>
      <c r="J5" s="104"/>
      <c r="K5" s="11" t="s">
        <v>361</v>
      </c>
      <c r="L5" s="116" t="s">
        <v>95</v>
      </c>
      <c r="M5" s="116" t="s">
        <v>96</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6"/>
      <c r="AO5" s="126"/>
      <c r="AP5" s="103" t="s">
        <v>174</v>
      </c>
    </row>
    <row r="6" spans="1:42" s="13" customFormat="1" x14ac:dyDescent="0.25">
      <c r="A6" s="117">
        <v>44438</v>
      </c>
      <c r="B6" s="112"/>
      <c r="C6" s="116">
        <v>1801185</v>
      </c>
      <c r="D6" s="116" t="s">
        <v>97</v>
      </c>
      <c r="E6" s="77">
        <v>9</v>
      </c>
      <c r="F6" s="78">
        <v>684767.03761137906</v>
      </c>
      <c r="G6" s="79">
        <v>6029866.9739828296</v>
      </c>
      <c r="H6" s="116" t="s">
        <v>93</v>
      </c>
      <c r="I6" s="77" t="s">
        <v>98</v>
      </c>
      <c r="J6" s="104"/>
      <c r="K6" s="116" t="s">
        <v>362</v>
      </c>
      <c r="L6" s="116" t="s">
        <v>95</v>
      </c>
      <c r="M6" s="116" t="s">
        <v>96</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6"/>
      <c r="AO6" s="126"/>
      <c r="AP6" s="103" t="s">
        <v>175</v>
      </c>
    </row>
    <row r="7" spans="1:42" s="13" customFormat="1" ht="30" x14ac:dyDescent="0.25">
      <c r="A7" s="117">
        <v>44438</v>
      </c>
      <c r="B7" s="112"/>
      <c r="C7" s="116">
        <v>1800360</v>
      </c>
      <c r="D7" s="116" t="s">
        <v>97</v>
      </c>
      <c r="E7" s="77">
        <v>9</v>
      </c>
      <c r="F7" s="78">
        <v>685353.27330658503</v>
      </c>
      <c r="G7" s="79">
        <v>6030520.3540688502</v>
      </c>
      <c r="H7" s="116" t="s">
        <v>107</v>
      </c>
      <c r="I7" s="77" t="s">
        <v>106</v>
      </c>
      <c r="J7" s="104"/>
      <c r="K7" s="116" t="s">
        <v>363</v>
      </c>
      <c r="L7" s="116" t="s">
        <v>99</v>
      </c>
      <c r="M7" s="116" t="s">
        <v>100</v>
      </c>
      <c r="N7" s="114">
        <v>0.6</v>
      </c>
      <c r="O7" s="114">
        <v>14.5</v>
      </c>
      <c r="P7" s="116" t="s">
        <v>101</v>
      </c>
      <c r="Q7" s="121"/>
      <c r="R7" s="116" t="s">
        <v>101</v>
      </c>
      <c r="S7" s="116" t="s">
        <v>101</v>
      </c>
      <c r="T7" s="121"/>
      <c r="U7" s="116">
        <v>1</v>
      </c>
      <c r="V7" s="116">
        <v>0.1</v>
      </c>
      <c r="W7" s="116">
        <v>0.1</v>
      </c>
      <c r="X7" s="116" t="s">
        <v>101</v>
      </c>
      <c r="Y7" s="116">
        <v>3.5</v>
      </c>
      <c r="Z7" s="116">
        <v>1.5</v>
      </c>
      <c r="AA7" s="116">
        <v>7</v>
      </c>
      <c r="AB7" s="115" t="s">
        <v>101</v>
      </c>
      <c r="AC7" s="115" t="s">
        <v>101</v>
      </c>
      <c r="AD7" s="116" t="s">
        <v>102</v>
      </c>
      <c r="AE7" s="116" t="s">
        <v>103</v>
      </c>
      <c r="AF7" s="22">
        <f t="shared" si="0"/>
        <v>2.5</v>
      </c>
      <c r="AG7" s="15">
        <f t="shared" si="1"/>
        <v>0</v>
      </c>
      <c r="AH7" s="7">
        <f t="shared" si="2"/>
        <v>10</v>
      </c>
      <c r="AI7" s="7">
        <f t="shared" si="3"/>
        <v>0</v>
      </c>
      <c r="AJ7" s="7">
        <f t="shared" si="4"/>
        <v>10</v>
      </c>
      <c r="AK7" s="12">
        <f t="shared" si="5"/>
        <v>6</v>
      </c>
      <c r="AL7" s="14">
        <f t="shared" si="6"/>
        <v>26</v>
      </c>
      <c r="AM7" s="16" t="str">
        <f t="shared" si="7"/>
        <v>Barrier</v>
      </c>
      <c r="AN7" s="125" t="s">
        <v>398</v>
      </c>
      <c r="AO7" s="125">
        <v>3</v>
      </c>
      <c r="AP7" s="116" t="s">
        <v>176</v>
      </c>
    </row>
    <row r="8" spans="1:42" s="13" customFormat="1" ht="30" x14ac:dyDescent="0.25">
      <c r="A8" s="117">
        <v>44438</v>
      </c>
      <c r="B8" s="110"/>
      <c r="C8" s="116">
        <v>1800180</v>
      </c>
      <c r="D8" s="116" t="s">
        <v>97</v>
      </c>
      <c r="E8" s="77">
        <v>9</v>
      </c>
      <c r="F8" s="78">
        <v>683420.65263197804</v>
      </c>
      <c r="G8" s="79">
        <v>6032258.1451603901</v>
      </c>
      <c r="H8" s="116" t="s">
        <v>107</v>
      </c>
      <c r="I8" s="77" t="s">
        <v>106</v>
      </c>
      <c r="J8" s="105"/>
      <c r="K8" s="108" t="s">
        <v>363</v>
      </c>
      <c r="L8" s="116" t="s">
        <v>99</v>
      </c>
      <c r="M8" s="116" t="s">
        <v>100</v>
      </c>
      <c r="N8" s="114">
        <v>0.9</v>
      </c>
      <c r="O8" s="114">
        <v>23</v>
      </c>
      <c r="P8" s="116" t="s">
        <v>101</v>
      </c>
      <c r="Q8" s="121"/>
      <c r="R8" s="116" t="s">
        <v>101</v>
      </c>
      <c r="S8" s="116" t="s">
        <v>101</v>
      </c>
      <c r="T8" s="121"/>
      <c r="U8" s="116">
        <v>1</v>
      </c>
      <c r="V8" s="116">
        <v>0</v>
      </c>
      <c r="W8" s="116">
        <v>0</v>
      </c>
      <c r="X8" s="116" t="s">
        <v>104</v>
      </c>
      <c r="Y8" s="116">
        <v>3.5</v>
      </c>
      <c r="Z8" s="116">
        <v>1.5</v>
      </c>
      <c r="AA8" s="116">
        <v>12</v>
      </c>
      <c r="AB8" s="115" t="s">
        <v>101</v>
      </c>
      <c r="AC8" s="115" t="s">
        <v>101</v>
      </c>
      <c r="AD8" s="116" t="s">
        <v>102</v>
      </c>
      <c r="AE8" s="116" t="s">
        <v>103</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25" t="s">
        <v>398</v>
      </c>
      <c r="AO8" s="125">
        <v>3</v>
      </c>
      <c r="AP8" s="116" t="s">
        <v>177</v>
      </c>
    </row>
    <row r="9" spans="1:42" x14ac:dyDescent="0.25">
      <c r="A9" s="117">
        <v>44438</v>
      </c>
      <c r="B9" s="111"/>
      <c r="C9" s="116">
        <v>1800372</v>
      </c>
      <c r="D9" s="116" t="s">
        <v>92</v>
      </c>
      <c r="E9" s="77">
        <v>9</v>
      </c>
      <c r="F9" s="78">
        <v>681279</v>
      </c>
      <c r="G9" s="79">
        <v>6032345</v>
      </c>
      <c r="H9" s="103" t="s">
        <v>107</v>
      </c>
      <c r="I9" s="77" t="s">
        <v>105</v>
      </c>
      <c r="J9" s="104"/>
      <c r="K9" s="108" t="s">
        <v>364</v>
      </c>
      <c r="L9" s="116" t="s">
        <v>99</v>
      </c>
      <c r="M9" s="115" t="s">
        <v>100</v>
      </c>
      <c r="N9" s="113">
        <v>0.9</v>
      </c>
      <c r="O9" s="113">
        <v>15</v>
      </c>
      <c r="P9" s="116" t="s">
        <v>101</v>
      </c>
      <c r="Q9" s="121"/>
      <c r="R9" s="116" t="s">
        <v>101</v>
      </c>
      <c r="S9" s="116" t="s">
        <v>101</v>
      </c>
      <c r="T9" s="121"/>
      <c r="U9" s="116">
        <v>1.5</v>
      </c>
      <c r="V9" s="116">
        <v>0</v>
      </c>
      <c r="W9" s="116">
        <v>0</v>
      </c>
      <c r="X9" s="116" t="s">
        <v>101</v>
      </c>
      <c r="Y9" s="116">
        <v>8</v>
      </c>
      <c r="Z9" s="116">
        <v>2</v>
      </c>
      <c r="AA9" s="116">
        <v>4</v>
      </c>
      <c r="AB9" s="115" t="s">
        <v>101</v>
      </c>
      <c r="AC9" s="115" t="s">
        <v>101</v>
      </c>
      <c r="AD9" s="116" t="s">
        <v>102</v>
      </c>
      <c r="AE9" s="116" t="s">
        <v>103</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25" t="s">
        <v>399</v>
      </c>
      <c r="AO9" s="125">
        <v>10</v>
      </c>
      <c r="AP9" s="116" t="s">
        <v>178</v>
      </c>
    </row>
    <row r="10" spans="1:42" x14ac:dyDescent="0.25">
      <c r="A10" s="117">
        <v>44438</v>
      </c>
      <c r="B10" s="111"/>
      <c r="C10" s="116">
        <v>1803682</v>
      </c>
      <c r="D10" s="116" t="s">
        <v>97</v>
      </c>
      <c r="E10" s="77">
        <v>9</v>
      </c>
      <c r="F10" s="78">
        <v>682026.13412471395</v>
      </c>
      <c r="G10" s="79">
        <v>6028531.0330157997</v>
      </c>
      <c r="H10" s="103" t="s">
        <v>93</v>
      </c>
      <c r="I10" s="77" t="s">
        <v>109</v>
      </c>
      <c r="J10" s="104"/>
      <c r="K10" s="116" t="s">
        <v>365</v>
      </c>
      <c r="L10" s="116" t="s">
        <v>95</v>
      </c>
      <c r="M10" s="116" t="s">
        <v>96</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7"/>
      <c r="AP10" s="116" t="s">
        <v>179</v>
      </c>
    </row>
    <row r="11" spans="1:42" x14ac:dyDescent="0.25">
      <c r="A11" s="117">
        <v>44438</v>
      </c>
      <c r="B11" s="111"/>
      <c r="C11" s="103">
        <v>1803706</v>
      </c>
      <c r="D11" s="115" t="s">
        <v>97</v>
      </c>
      <c r="E11" s="115">
        <v>9</v>
      </c>
      <c r="F11" s="107">
        <v>683683.88684027095</v>
      </c>
      <c r="G11" s="106">
        <v>6024930.0505187204</v>
      </c>
      <c r="H11" s="103" t="s">
        <v>108</v>
      </c>
      <c r="I11" s="77" t="s">
        <v>109</v>
      </c>
      <c r="J11" s="104"/>
      <c r="K11" s="115" t="s">
        <v>365</v>
      </c>
      <c r="L11" s="116" t="s">
        <v>99</v>
      </c>
      <c r="M11" s="116" t="s">
        <v>100</v>
      </c>
      <c r="N11" s="113">
        <v>0.5</v>
      </c>
      <c r="O11" s="113">
        <v>30</v>
      </c>
      <c r="P11" s="115" t="s">
        <v>101</v>
      </c>
      <c r="Q11" s="124"/>
      <c r="R11" s="115" t="s">
        <v>101</v>
      </c>
      <c r="S11" s="115" t="s">
        <v>101</v>
      </c>
      <c r="T11" s="124"/>
      <c r="U11" s="113">
        <v>3</v>
      </c>
      <c r="V11" s="115">
        <v>0.6</v>
      </c>
      <c r="W11" s="113">
        <v>0.3</v>
      </c>
      <c r="X11" s="115" t="s">
        <v>101</v>
      </c>
      <c r="Y11" s="113">
        <v>3.5</v>
      </c>
      <c r="Z11" s="113">
        <v>1.2</v>
      </c>
      <c r="AA11" s="115">
        <v>3</v>
      </c>
      <c r="AB11" s="115" t="s">
        <v>101</v>
      </c>
      <c r="AC11" s="115" t="s">
        <v>101</v>
      </c>
      <c r="AD11" s="115" t="s">
        <v>102</v>
      </c>
      <c r="AE11" s="115" t="s">
        <v>103</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t="s">
        <v>398</v>
      </c>
      <c r="AO11" s="125">
        <v>3</v>
      </c>
      <c r="AP11" s="116" t="s">
        <v>180</v>
      </c>
    </row>
    <row r="12" spans="1:42" ht="30" x14ac:dyDescent="0.25">
      <c r="A12" s="117">
        <v>44438</v>
      </c>
      <c r="B12" s="73"/>
      <c r="C12" s="25">
        <v>1802611</v>
      </c>
      <c r="D12" s="25" t="s">
        <v>97</v>
      </c>
      <c r="E12" s="77">
        <v>9</v>
      </c>
      <c r="F12" s="78">
        <v>685706</v>
      </c>
      <c r="G12" s="79">
        <v>6023769</v>
      </c>
      <c r="H12" s="77" t="s">
        <v>108</v>
      </c>
      <c r="I12" s="77" t="s">
        <v>109</v>
      </c>
      <c r="J12" s="42"/>
      <c r="K12" s="77" t="s">
        <v>366</v>
      </c>
      <c r="L12" s="25" t="s">
        <v>99</v>
      </c>
      <c r="M12" s="25" t="s">
        <v>100</v>
      </c>
      <c r="N12" s="114">
        <v>1.2</v>
      </c>
      <c r="O12" s="114">
        <v>23</v>
      </c>
      <c r="P12" s="116" t="s">
        <v>101</v>
      </c>
      <c r="Q12" s="121"/>
      <c r="R12" s="116" t="s">
        <v>101</v>
      </c>
      <c r="S12" s="116" t="s">
        <v>101</v>
      </c>
      <c r="T12" s="122"/>
      <c r="U12" s="114">
        <v>1</v>
      </c>
      <c r="V12" s="116">
        <v>0</v>
      </c>
      <c r="W12" s="114">
        <v>0</v>
      </c>
      <c r="X12" s="116" t="s">
        <v>101</v>
      </c>
      <c r="Y12" s="114">
        <v>1</v>
      </c>
      <c r="Z12" s="114">
        <v>1.3</v>
      </c>
      <c r="AA12" s="116">
        <v>2.5</v>
      </c>
      <c r="AB12" s="25" t="s">
        <v>101</v>
      </c>
      <c r="AC12" s="25" t="s">
        <v>101</v>
      </c>
      <c r="AD12" s="116" t="s">
        <v>102</v>
      </c>
      <c r="AE12" s="116" t="s">
        <v>103</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25" t="s">
        <v>398</v>
      </c>
      <c r="AO12" s="114">
        <v>3</v>
      </c>
      <c r="AP12" s="25" t="s">
        <v>181</v>
      </c>
    </row>
    <row r="13" spans="1:42" ht="30" x14ac:dyDescent="0.25">
      <c r="A13" s="117">
        <v>44438</v>
      </c>
      <c r="B13" s="76"/>
      <c r="C13" s="25">
        <v>1803697</v>
      </c>
      <c r="D13" s="25" t="s">
        <v>97</v>
      </c>
      <c r="E13" s="77">
        <v>9</v>
      </c>
      <c r="F13" s="78">
        <v>687646.94092958595</v>
      </c>
      <c r="G13" s="79">
        <v>6021923.0548803098</v>
      </c>
      <c r="H13" s="77" t="s">
        <v>108</v>
      </c>
      <c r="I13" s="77" t="s">
        <v>109</v>
      </c>
      <c r="J13" s="80"/>
      <c r="K13" s="77" t="s">
        <v>365</v>
      </c>
      <c r="L13" s="25" t="s">
        <v>99</v>
      </c>
      <c r="M13" s="25" t="s">
        <v>100</v>
      </c>
      <c r="N13" s="114">
        <v>0.3</v>
      </c>
      <c r="O13" s="114">
        <v>15</v>
      </c>
      <c r="P13" s="116" t="s">
        <v>101</v>
      </c>
      <c r="Q13" s="121"/>
      <c r="R13" s="116" t="s">
        <v>101</v>
      </c>
      <c r="S13" s="116" t="s">
        <v>101</v>
      </c>
      <c r="T13" s="121"/>
      <c r="U13" s="114">
        <v>1</v>
      </c>
      <c r="V13" s="116">
        <v>0.1</v>
      </c>
      <c r="W13" s="114">
        <v>0</v>
      </c>
      <c r="X13" s="116" t="s">
        <v>101</v>
      </c>
      <c r="Y13" s="114">
        <v>1.5</v>
      </c>
      <c r="Z13" s="114">
        <v>1</v>
      </c>
      <c r="AA13" s="116">
        <v>2</v>
      </c>
      <c r="AB13" s="25" t="s">
        <v>101</v>
      </c>
      <c r="AC13" s="25" t="s">
        <v>101</v>
      </c>
      <c r="AD13" s="116" t="s">
        <v>102</v>
      </c>
      <c r="AE13" s="116" t="s">
        <v>103</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25" t="s">
        <v>398</v>
      </c>
      <c r="AO13" s="114">
        <v>3</v>
      </c>
      <c r="AP13" s="25" t="s">
        <v>182</v>
      </c>
    </row>
    <row r="14" spans="1:42" ht="30" x14ac:dyDescent="0.25">
      <c r="A14" s="117">
        <v>44438</v>
      </c>
      <c r="B14" s="76"/>
      <c r="C14" s="25">
        <v>1804693</v>
      </c>
      <c r="D14" s="25" t="s">
        <v>97</v>
      </c>
      <c r="E14" s="77">
        <v>9</v>
      </c>
      <c r="F14" s="78">
        <v>687557</v>
      </c>
      <c r="G14" s="79">
        <v>6020572</v>
      </c>
      <c r="H14" s="77" t="s">
        <v>108</v>
      </c>
      <c r="I14" s="77" t="s">
        <v>109</v>
      </c>
      <c r="J14" s="80"/>
      <c r="K14" s="77" t="s">
        <v>365</v>
      </c>
      <c r="L14" s="25" t="s">
        <v>99</v>
      </c>
      <c r="M14" s="25" t="s">
        <v>100</v>
      </c>
      <c r="N14" s="114">
        <v>0.6</v>
      </c>
      <c r="O14" s="114">
        <v>16</v>
      </c>
      <c r="P14" s="116" t="s">
        <v>101</v>
      </c>
      <c r="Q14" s="121"/>
      <c r="R14" s="116" t="s">
        <v>101</v>
      </c>
      <c r="S14" s="116" t="s">
        <v>101</v>
      </c>
      <c r="T14" s="121"/>
      <c r="U14" s="114">
        <v>2.5</v>
      </c>
      <c r="V14" s="116">
        <v>0</v>
      </c>
      <c r="W14" s="114">
        <v>0.65</v>
      </c>
      <c r="X14" s="116" t="s">
        <v>104</v>
      </c>
      <c r="Y14" s="114">
        <v>3</v>
      </c>
      <c r="Z14" s="114">
        <v>0.9</v>
      </c>
      <c r="AA14" s="116">
        <v>4</v>
      </c>
      <c r="AB14" s="25" t="s">
        <v>104</v>
      </c>
      <c r="AC14" s="25" t="s">
        <v>101</v>
      </c>
      <c r="AD14" s="116" t="s">
        <v>102</v>
      </c>
      <c r="AE14" s="116" t="s">
        <v>110</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25" t="s">
        <v>398</v>
      </c>
      <c r="AO14" s="114">
        <v>3</v>
      </c>
      <c r="AP14" s="25" t="s">
        <v>183</v>
      </c>
    </row>
    <row r="15" spans="1:42" ht="30" x14ac:dyDescent="0.25">
      <c r="A15" s="117">
        <v>44438</v>
      </c>
      <c r="B15" s="76"/>
      <c r="C15" s="25">
        <v>1804694</v>
      </c>
      <c r="D15" s="25" t="s">
        <v>97</v>
      </c>
      <c r="E15" s="77">
        <v>9</v>
      </c>
      <c r="F15" s="78">
        <v>688604.00005812105</v>
      </c>
      <c r="G15" s="79">
        <v>6019911.0531726899</v>
      </c>
      <c r="H15" s="77" t="s">
        <v>108</v>
      </c>
      <c r="I15" s="77" t="s">
        <v>111</v>
      </c>
      <c r="J15" s="80"/>
      <c r="K15" s="77" t="s">
        <v>365</v>
      </c>
      <c r="L15" s="25" t="s">
        <v>95</v>
      </c>
      <c r="M15" s="25" t="s">
        <v>96</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6"/>
      <c r="AO15" s="127"/>
      <c r="AP15" s="25" t="s">
        <v>184</v>
      </c>
    </row>
    <row r="16" spans="1:42" x14ac:dyDescent="0.25">
      <c r="A16" s="117">
        <v>44438</v>
      </c>
      <c r="B16" s="76"/>
      <c r="C16" s="25">
        <v>2021083003</v>
      </c>
      <c r="D16" s="25" t="s">
        <v>92</v>
      </c>
      <c r="E16" s="77">
        <v>9</v>
      </c>
      <c r="F16" s="78">
        <v>686933</v>
      </c>
      <c r="G16" s="79">
        <v>6023054</v>
      </c>
      <c r="H16" s="77" t="s">
        <v>114</v>
      </c>
      <c r="I16" s="77" t="s">
        <v>115</v>
      </c>
      <c r="J16" s="80"/>
      <c r="K16" s="77" t="s">
        <v>362</v>
      </c>
      <c r="L16" s="25" t="s">
        <v>112</v>
      </c>
      <c r="M16" s="25" t="s">
        <v>113</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185</v>
      </c>
    </row>
    <row r="17" spans="1:42" x14ac:dyDescent="0.25">
      <c r="A17" s="117">
        <v>44439</v>
      </c>
      <c r="B17" s="76"/>
      <c r="C17" s="25">
        <v>1802106</v>
      </c>
      <c r="D17" s="25" t="s">
        <v>92</v>
      </c>
      <c r="E17" s="77">
        <v>9</v>
      </c>
      <c r="F17" s="78">
        <v>670963.04583718895</v>
      </c>
      <c r="G17" s="79">
        <v>6046221.1978087602</v>
      </c>
      <c r="H17" s="77" t="s">
        <v>117</v>
      </c>
      <c r="I17" s="77" t="s">
        <v>98</v>
      </c>
      <c r="J17" s="80"/>
      <c r="K17" s="77" t="s">
        <v>362</v>
      </c>
      <c r="L17" s="25" t="s">
        <v>95</v>
      </c>
      <c r="M17" s="25" t="s">
        <v>96</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6"/>
      <c r="AO17" s="127"/>
      <c r="AP17" s="25" t="s">
        <v>186</v>
      </c>
    </row>
    <row r="18" spans="1:42" x14ac:dyDescent="0.25">
      <c r="A18" s="117">
        <v>44439</v>
      </c>
      <c r="B18" s="76"/>
      <c r="C18" s="25">
        <v>1802088</v>
      </c>
      <c r="D18" s="25" t="s">
        <v>92</v>
      </c>
      <c r="E18" s="77">
        <v>9</v>
      </c>
      <c r="F18" s="78">
        <v>669947.04071961495</v>
      </c>
      <c r="G18" s="79">
        <v>6047216.9999301601</v>
      </c>
      <c r="H18" s="77" t="s">
        <v>117</v>
      </c>
      <c r="I18" s="77" t="s">
        <v>98</v>
      </c>
      <c r="J18" s="80"/>
      <c r="K18" s="77" t="s">
        <v>362</v>
      </c>
      <c r="L18" s="25" t="s">
        <v>112</v>
      </c>
      <c r="M18" s="25" t="s">
        <v>113</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187</v>
      </c>
    </row>
    <row r="19" spans="1:42" x14ac:dyDescent="0.25">
      <c r="A19" s="117">
        <v>44439</v>
      </c>
      <c r="B19" s="76"/>
      <c r="C19" s="25">
        <v>1802089</v>
      </c>
      <c r="D19" s="25" t="s">
        <v>92</v>
      </c>
      <c r="E19" s="77">
        <v>9</v>
      </c>
      <c r="F19" s="78">
        <v>668873.04869108205</v>
      </c>
      <c r="G19" s="79">
        <v>6046967.06112778</v>
      </c>
      <c r="H19" s="77" t="s">
        <v>116</v>
      </c>
      <c r="I19" s="77" t="s">
        <v>98</v>
      </c>
      <c r="J19" s="42"/>
      <c r="K19" s="77" t="s">
        <v>362</v>
      </c>
      <c r="L19" s="25" t="s">
        <v>112</v>
      </c>
      <c r="M19" s="25" t="s">
        <v>113</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188</v>
      </c>
    </row>
    <row r="20" spans="1:42" x14ac:dyDescent="0.25">
      <c r="A20" s="117">
        <v>44440</v>
      </c>
      <c r="B20" s="76"/>
      <c r="C20" s="25">
        <v>14000613</v>
      </c>
      <c r="D20" s="25" t="s">
        <v>92</v>
      </c>
      <c r="E20" s="77">
        <v>9</v>
      </c>
      <c r="F20" s="78">
        <v>588885</v>
      </c>
      <c r="G20" s="79">
        <v>6003123</v>
      </c>
      <c r="H20" s="25" t="s">
        <v>118</v>
      </c>
      <c r="I20" s="77"/>
      <c r="J20" s="42"/>
      <c r="K20" s="77" t="s">
        <v>366</v>
      </c>
      <c r="L20" s="25" t="s">
        <v>112</v>
      </c>
      <c r="M20" s="25" t="s">
        <v>113</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5"/>
      <c r="AP20" s="25" t="s">
        <v>189</v>
      </c>
    </row>
    <row r="21" spans="1:42" x14ac:dyDescent="0.25">
      <c r="A21" s="117">
        <v>44440</v>
      </c>
      <c r="B21" s="76"/>
      <c r="C21" s="25">
        <v>14000621</v>
      </c>
      <c r="D21" s="25" t="s">
        <v>92</v>
      </c>
      <c r="E21" s="25">
        <v>9</v>
      </c>
      <c r="F21" s="75">
        <v>589552.49377389101</v>
      </c>
      <c r="G21" s="81">
        <v>6003685.2322368901</v>
      </c>
      <c r="H21" s="25" t="s">
        <v>118</v>
      </c>
      <c r="I21" s="25" t="s">
        <v>119</v>
      </c>
      <c r="J21" s="42"/>
      <c r="K21" s="25" t="s">
        <v>367</v>
      </c>
      <c r="L21" s="25" t="s">
        <v>99</v>
      </c>
      <c r="M21" s="25" t="s">
        <v>120</v>
      </c>
      <c r="N21" s="114">
        <v>1.95</v>
      </c>
      <c r="O21" s="114">
        <v>16</v>
      </c>
      <c r="P21" s="116" t="s">
        <v>104</v>
      </c>
      <c r="Q21" s="114">
        <v>0.15</v>
      </c>
      <c r="R21" s="116" t="s">
        <v>104</v>
      </c>
      <c r="S21" s="116" t="s">
        <v>101</v>
      </c>
      <c r="T21" s="122"/>
      <c r="U21" s="114">
        <v>2</v>
      </c>
      <c r="V21" s="116">
        <v>0</v>
      </c>
      <c r="W21" s="114">
        <v>0.05</v>
      </c>
      <c r="X21" s="116" t="s">
        <v>101</v>
      </c>
      <c r="Y21" s="114">
        <v>0.75</v>
      </c>
      <c r="Z21" s="114">
        <v>2.8</v>
      </c>
      <c r="AA21" s="116">
        <v>7</v>
      </c>
      <c r="AB21" s="25" t="s">
        <v>101</v>
      </c>
      <c r="AC21" s="25" t="s">
        <v>101</v>
      </c>
      <c r="AD21" s="116" t="s">
        <v>102</v>
      </c>
      <c r="AE21" s="116" t="s">
        <v>110</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6"/>
      <c r="AO21" s="127"/>
      <c r="AP21" s="25" t="s">
        <v>190</v>
      </c>
    </row>
    <row r="22" spans="1:42" ht="30" x14ac:dyDescent="0.25">
      <c r="A22" s="117">
        <v>44440</v>
      </c>
      <c r="B22" s="76"/>
      <c r="C22" s="25">
        <v>14000614</v>
      </c>
      <c r="D22" s="25" t="s">
        <v>92</v>
      </c>
      <c r="E22" s="77">
        <v>9</v>
      </c>
      <c r="F22" s="78">
        <v>590839.40499983996</v>
      </c>
      <c r="G22" s="79">
        <v>6004384.7713944903</v>
      </c>
      <c r="H22" s="77" t="s">
        <v>118</v>
      </c>
      <c r="I22" s="77" t="s">
        <v>119</v>
      </c>
      <c r="J22" s="80"/>
      <c r="K22" s="77" t="s">
        <v>367</v>
      </c>
      <c r="L22" s="25" t="s">
        <v>95</v>
      </c>
      <c r="M22" s="25" t="s">
        <v>96</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6"/>
      <c r="AO22" s="127"/>
      <c r="AP22" s="25" t="s">
        <v>191</v>
      </c>
    </row>
    <row r="23" spans="1:42" ht="30" x14ac:dyDescent="0.25">
      <c r="A23" s="117">
        <v>44440</v>
      </c>
      <c r="B23" s="76"/>
      <c r="C23" s="25">
        <v>14000944</v>
      </c>
      <c r="D23" s="25" t="s">
        <v>92</v>
      </c>
      <c r="E23" s="77">
        <v>9</v>
      </c>
      <c r="F23" s="78">
        <v>591400.32152242598</v>
      </c>
      <c r="G23" s="79">
        <v>6004533.1951315096</v>
      </c>
      <c r="H23" s="77" t="s">
        <v>118</v>
      </c>
      <c r="I23" s="77" t="s">
        <v>119</v>
      </c>
      <c r="J23" s="80"/>
      <c r="K23" s="77" t="s">
        <v>368</v>
      </c>
      <c r="L23" s="25" t="s">
        <v>95</v>
      </c>
      <c r="M23" s="25" t="s">
        <v>96</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6"/>
      <c r="AO23" s="127"/>
      <c r="AP23" s="25" t="s">
        <v>192</v>
      </c>
    </row>
    <row r="24" spans="1:42" ht="30" x14ac:dyDescent="0.25">
      <c r="A24" s="117">
        <v>44440</v>
      </c>
      <c r="B24" s="76"/>
      <c r="C24" s="25">
        <v>14001249</v>
      </c>
      <c r="D24" s="25" t="s">
        <v>92</v>
      </c>
      <c r="E24" s="77">
        <v>9</v>
      </c>
      <c r="F24" s="78">
        <v>591714.98497556499</v>
      </c>
      <c r="G24" s="79">
        <v>6005281.7377794404</v>
      </c>
      <c r="H24" s="77" t="s">
        <v>118</v>
      </c>
      <c r="I24" s="77" t="s">
        <v>121</v>
      </c>
      <c r="J24" s="80"/>
      <c r="K24" s="77"/>
      <c r="L24" s="25" t="s">
        <v>112</v>
      </c>
      <c r="M24" s="25" t="s">
        <v>113</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193</v>
      </c>
    </row>
    <row r="25" spans="1:42" ht="30" x14ac:dyDescent="0.25">
      <c r="A25" s="117">
        <v>44440</v>
      </c>
      <c r="B25" s="76"/>
      <c r="C25" s="25">
        <v>14000725</v>
      </c>
      <c r="D25" s="25" t="s">
        <v>92</v>
      </c>
      <c r="E25" s="77">
        <v>9</v>
      </c>
      <c r="F25" s="78">
        <v>598299.76788970898</v>
      </c>
      <c r="G25" s="79">
        <v>6007625.52256105</v>
      </c>
      <c r="H25" s="77" t="s">
        <v>118</v>
      </c>
      <c r="I25" s="77" t="s">
        <v>119</v>
      </c>
      <c r="J25" s="80"/>
      <c r="K25" s="77" t="s">
        <v>367</v>
      </c>
      <c r="L25" s="25" t="s">
        <v>95</v>
      </c>
      <c r="M25" s="25" t="s">
        <v>96</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6"/>
      <c r="AO25" s="127"/>
      <c r="AP25" s="25" t="s">
        <v>408</v>
      </c>
    </row>
    <row r="26" spans="1:42" ht="30" x14ac:dyDescent="0.25">
      <c r="A26" s="117">
        <v>44440</v>
      </c>
      <c r="B26" s="76"/>
      <c r="C26" s="25">
        <v>14001542</v>
      </c>
      <c r="D26" s="25" t="s">
        <v>92</v>
      </c>
      <c r="E26" s="77">
        <v>9</v>
      </c>
      <c r="F26" s="78">
        <v>595641.48113037599</v>
      </c>
      <c r="G26" s="79">
        <v>6007684.8481979696</v>
      </c>
      <c r="H26" s="77" t="s">
        <v>118</v>
      </c>
      <c r="I26" s="77" t="s">
        <v>121</v>
      </c>
      <c r="J26" s="80"/>
      <c r="K26" s="77" t="s">
        <v>364</v>
      </c>
      <c r="L26" s="25" t="s">
        <v>112</v>
      </c>
      <c r="M26" s="25" t="s">
        <v>113</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195</v>
      </c>
    </row>
    <row r="27" spans="1:42" ht="30" x14ac:dyDescent="0.25">
      <c r="A27" s="117">
        <v>44440</v>
      </c>
      <c r="B27" s="76"/>
      <c r="C27" s="25">
        <v>14000828</v>
      </c>
      <c r="D27" s="25" t="s">
        <v>92</v>
      </c>
      <c r="E27" s="77">
        <v>9</v>
      </c>
      <c r="F27" s="78">
        <v>599393.95307541895</v>
      </c>
      <c r="G27" s="79">
        <v>6008488.7418485098</v>
      </c>
      <c r="H27" s="77" t="s">
        <v>118</v>
      </c>
      <c r="I27" s="77" t="s">
        <v>121</v>
      </c>
      <c r="J27" s="80"/>
      <c r="K27" s="77" t="s">
        <v>367</v>
      </c>
      <c r="L27" s="25" t="s">
        <v>99</v>
      </c>
      <c r="M27" s="25" t="s">
        <v>100</v>
      </c>
      <c r="N27" s="114">
        <v>1</v>
      </c>
      <c r="O27" s="114">
        <v>14</v>
      </c>
      <c r="P27" s="116" t="s">
        <v>104</v>
      </c>
      <c r="Q27" s="114">
        <v>0.05</v>
      </c>
      <c r="R27" s="116" t="s">
        <v>104</v>
      </c>
      <c r="S27" s="116" t="s">
        <v>101</v>
      </c>
      <c r="T27" s="122"/>
      <c r="U27" s="114">
        <v>1</v>
      </c>
      <c r="V27" s="116">
        <v>0</v>
      </c>
      <c r="W27" s="114">
        <v>0</v>
      </c>
      <c r="X27" s="116" t="s">
        <v>101</v>
      </c>
      <c r="Y27" s="114">
        <v>1</v>
      </c>
      <c r="Z27" s="114">
        <v>0.8</v>
      </c>
      <c r="AA27" s="116">
        <v>0</v>
      </c>
      <c r="AB27" s="25" t="s">
        <v>101</v>
      </c>
      <c r="AC27" s="25" t="s">
        <v>101</v>
      </c>
      <c r="AD27" s="116" t="s">
        <v>102</v>
      </c>
      <c r="AE27" s="116" t="s">
        <v>103</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6"/>
      <c r="AO27" s="127"/>
      <c r="AP27" s="25" t="s">
        <v>196</v>
      </c>
    </row>
    <row r="28" spans="1:42" ht="30" x14ac:dyDescent="0.25">
      <c r="A28" s="117">
        <v>44440</v>
      </c>
      <c r="B28" s="76"/>
      <c r="C28" s="25">
        <v>14000949</v>
      </c>
      <c r="D28" s="25" t="s">
        <v>92</v>
      </c>
      <c r="E28" s="77">
        <v>9</v>
      </c>
      <c r="F28" s="78">
        <v>601529</v>
      </c>
      <c r="G28" s="79">
        <v>6006865</v>
      </c>
      <c r="H28" s="77" t="s">
        <v>118</v>
      </c>
      <c r="I28" s="77" t="s">
        <v>119</v>
      </c>
      <c r="J28" s="80"/>
      <c r="K28" s="77" t="s">
        <v>368</v>
      </c>
      <c r="L28" s="25" t="s">
        <v>99</v>
      </c>
      <c r="M28" s="25" t="s">
        <v>100</v>
      </c>
      <c r="N28" s="114">
        <v>1.2</v>
      </c>
      <c r="O28" s="114">
        <v>28</v>
      </c>
      <c r="P28" s="116" t="s">
        <v>101</v>
      </c>
      <c r="Q28" s="122"/>
      <c r="R28" s="116" t="s">
        <v>101</v>
      </c>
      <c r="S28" s="116" t="s">
        <v>101</v>
      </c>
      <c r="T28" s="122"/>
      <c r="U28" s="114">
        <v>1</v>
      </c>
      <c r="V28" s="116">
        <v>0.5</v>
      </c>
      <c r="W28" s="114">
        <v>0.1</v>
      </c>
      <c r="X28" s="116" t="s">
        <v>101</v>
      </c>
      <c r="Y28" s="114">
        <v>0.5</v>
      </c>
      <c r="Z28" s="114">
        <v>0.9</v>
      </c>
      <c r="AA28" s="116">
        <v>0.5</v>
      </c>
      <c r="AB28" s="25" t="s">
        <v>101</v>
      </c>
      <c r="AC28" s="25" t="s">
        <v>101</v>
      </c>
      <c r="AD28" s="116" t="s">
        <v>102</v>
      </c>
      <c r="AE28" s="116" t="s">
        <v>103</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25" t="s">
        <v>398</v>
      </c>
      <c r="AO28" s="114">
        <v>3</v>
      </c>
      <c r="AP28" s="25" t="s">
        <v>197</v>
      </c>
    </row>
    <row r="29" spans="1:42" ht="30" x14ac:dyDescent="0.25">
      <c r="A29" s="117">
        <v>44440</v>
      </c>
      <c r="B29" s="76"/>
      <c r="C29" s="25">
        <v>14000954</v>
      </c>
      <c r="D29" s="25" t="s">
        <v>92</v>
      </c>
      <c r="E29" s="77">
        <v>9</v>
      </c>
      <c r="F29" s="78">
        <v>603333.08796026302</v>
      </c>
      <c r="G29" s="79">
        <v>6007072.1473669996</v>
      </c>
      <c r="H29" s="77" t="s">
        <v>118</v>
      </c>
      <c r="I29" s="77" t="s">
        <v>119</v>
      </c>
      <c r="J29" s="80"/>
      <c r="K29" s="77" t="s">
        <v>368</v>
      </c>
      <c r="L29" s="25" t="s">
        <v>99</v>
      </c>
      <c r="M29" s="25" t="s">
        <v>100</v>
      </c>
      <c r="N29" s="114">
        <v>0.5</v>
      </c>
      <c r="O29" s="114">
        <v>18</v>
      </c>
      <c r="P29" s="116" t="s">
        <v>101</v>
      </c>
      <c r="Q29" s="122"/>
      <c r="R29" s="116" t="s">
        <v>101</v>
      </c>
      <c r="S29" s="116" t="s">
        <v>101</v>
      </c>
      <c r="T29" s="122"/>
      <c r="U29" s="114">
        <v>1.5</v>
      </c>
      <c r="V29" s="116">
        <v>0</v>
      </c>
      <c r="W29" s="114">
        <v>0</v>
      </c>
      <c r="X29" s="116" t="s">
        <v>101</v>
      </c>
      <c r="Y29" s="114">
        <v>1</v>
      </c>
      <c r="Z29" s="114">
        <v>1.3</v>
      </c>
      <c r="AA29" s="116">
        <v>0.5</v>
      </c>
      <c r="AB29" s="25" t="s">
        <v>101</v>
      </c>
      <c r="AC29" s="25" t="s">
        <v>101</v>
      </c>
      <c r="AD29" s="116" t="s">
        <v>102</v>
      </c>
      <c r="AE29" s="116" t="s">
        <v>103</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25" t="s">
        <v>398</v>
      </c>
      <c r="AO29" s="114">
        <v>3</v>
      </c>
      <c r="AP29" s="25" t="s">
        <v>531</v>
      </c>
    </row>
    <row r="30" spans="1:42" ht="30" x14ac:dyDescent="0.25">
      <c r="A30" s="117">
        <v>44440</v>
      </c>
      <c r="B30" s="76"/>
      <c r="C30" s="25">
        <v>14000908</v>
      </c>
      <c r="D30" s="25" t="s">
        <v>92</v>
      </c>
      <c r="E30" s="77">
        <v>9</v>
      </c>
      <c r="F30" s="78">
        <v>604357.25067469804</v>
      </c>
      <c r="G30" s="79">
        <v>6009290.5308722304</v>
      </c>
      <c r="H30" s="77" t="s">
        <v>118</v>
      </c>
      <c r="I30" s="77"/>
      <c r="J30" s="80"/>
      <c r="K30" s="77" t="s">
        <v>367</v>
      </c>
      <c r="L30" s="25" t="s">
        <v>112</v>
      </c>
      <c r="M30" s="25" t="s">
        <v>113</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198</v>
      </c>
    </row>
    <row r="31" spans="1:42" ht="30" x14ac:dyDescent="0.25">
      <c r="A31" s="117">
        <v>44440</v>
      </c>
      <c r="B31" s="76"/>
      <c r="C31" s="25">
        <v>14001002</v>
      </c>
      <c r="D31" s="25" t="s">
        <v>92</v>
      </c>
      <c r="E31" s="77">
        <v>9</v>
      </c>
      <c r="F31" s="78">
        <v>606614.99940753495</v>
      </c>
      <c r="G31" s="79">
        <v>6006103.9990610601</v>
      </c>
      <c r="H31" s="77" t="s">
        <v>122</v>
      </c>
      <c r="I31" s="77" t="s">
        <v>123</v>
      </c>
      <c r="J31" s="80"/>
      <c r="K31" s="77" t="s">
        <v>368</v>
      </c>
      <c r="L31" s="25" t="s">
        <v>99</v>
      </c>
      <c r="M31" s="25" t="s">
        <v>100</v>
      </c>
      <c r="N31" s="114">
        <v>1.1000000000000001</v>
      </c>
      <c r="O31" s="114">
        <v>30</v>
      </c>
      <c r="P31" s="116" t="s">
        <v>104</v>
      </c>
      <c r="Q31" s="114">
        <v>0.15</v>
      </c>
      <c r="R31" s="116" t="s">
        <v>104</v>
      </c>
      <c r="S31" s="116" t="s">
        <v>101</v>
      </c>
      <c r="T31" s="122"/>
      <c r="U31" s="114">
        <v>2</v>
      </c>
      <c r="V31" s="116">
        <v>0</v>
      </c>
      <c r="W31" s="114">
        <v>0.1</v>
      </c>
      <c r="X31" s="116" t="s">
        <v>104</v>
      </c>
      <c r="Y31" s="114">
        <v>1</v>
      </c>
      <c r="Z31" s="114">
        <v>2</v>
      </c>
      <c r="AA31" s="116">
        <v>5</v>
      </c>
      <c r="AB31" s="25" t="s">
        <v>101</v>
      </c>
      <c r="AC31" s="25" t="s">
        <v>104</v>
      </c>
      <c r="AD31" s="116" t="s">
        <v>102</v>
      </c>
      <c r="AE31" s="116" t="s">
        <v>110</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25" t="s">
        <v>399</v>
      </c>
      <c r="AO31" s="114">
        <v>10</v>
      </c>
      <c r="AP31" s="25" t="s">
        <v>199</v>
      </c>
    </row>
    <row r="32" spans="1:42" ht="30" x14ac:dyDescent="0.25">
      <c r="A32" s="117">
        <v>44440</v>
      </c>
      <c r="B32" s="76"/>
      <c r="C32" s="25">
        <v>14001000</v>
      </c>
      <c r="D32" s="25" t="s">
        <v>92</v>
      </c>
      <c r="E32" s="77">
        <v>9</v>
      </c>
      <c r="F32" s="78">
        <v>613231.06074979599</v>
      </c>
      <c r="G32" s="79">
        <v>6005506.0045352904</v>
      </c>
      <c r="H32" s="77" t="s">
        <v>122</v>
      </c>
      <c r="I32" s="77" t="s">
        <v>123</v>
      </c>
      <c r="J32" s="80"/>
      <c r="K32" s="77" t="s">
        <v>368</v>
      </c>
      <c r="L32" s="25" t="s">
        <v>95</v>
      </c>
      <c r="M32" s="25" t="s">
        <v>96</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6"/>
      <c r="AO32" s="127"/>
      <c r="AP32" s="25" t="s">
        <v>200</v>
      </c>
    </row>
    <row r="33" spans="1:42" ht="30" x14ac:dyDescent="0.25">
      <c r="A33" s="117">
        <v>44440</v>
      </c>
      <c r="B33" s="76"/>
      <c r="C33" s="25">
        <v>14000997</v>
      </c>
      <c r="D33" s="25" t="s">
        <v>92</v>
      </c>
      <c r="E33" s="77">
        <v>9</v>
      </c>
      <c r="F33" s="78">
        <v>613579.00486524601</v>
      </c>
      <c r="G33" s="79">
        <v>6005551.0015314799</v>
      </c>
      <c r="H33" s="77" t="s">
        <v>122</v>
      </c>
      <c r="I33" s="77" t="s">
        <v>123</v>
      </c>
      <c r="J33" s="80"/>
      <c r="K33" s="77" t="s">
        <v>368</v>
      </c>
      <c r="L33" s="25" t="s">
        <v>99</v>
      </c>
      <c r="M33" s="25" t="s">
        <v>100</v>
      </c>
      <c r="N33" s="114">
        <v>0.6</v>
      </c>
      <c r="O33" s="114">
        <v>20</v>
      </c>
      <c r="P33" s="116" t="s">
        <v>101</v>
      </c>
      <c r="Q33" s="122"/>
      <c r="R33" s="116" t="s">
        <v>101</v>
      </c>
      <c r="S33" s="116" t="s">
        <v>101</v>
      </c>
      <c r="T33" s="122"/>
      <c r="U33" s="114">
        <v>2.5</v>
      </c>
      <c r="V33" s="116">
        <v>0.5</v>
      </c>
      <c r="W33" s="114">
        <v>0</v>
      </c>
      <c r="X33" s="116" t="s">
        <v>101</v>
      </c>
      <c r="Y33" s="114">
        <v>3.5</v>
      </c>
      <c r="Z33" s="114">
        <v>1.2</v>
      </c>
      <c r="AA33" s="116">
        <v>5</v>
      </c>
      <c r="AB33" s="25" t="s">
        <v>101</v>
      </c>
      <c r="AC33" s="25" t="s">
        <v>101</v>
      </c>
      <c r="AD33" s="116" t="s">
        <v>102</v>
      </c>
      <c r="AE33" s="116" t="s">
        <v>103</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25" t="s">
        <v>398</v>
      </c>
      <c r="AO33" s="114">
        <v>3</v>
      </c>
      <c r="AP33" s="25" t="s">
        <v>201</v>
      </c>
    </row>
    <row r="34" spans="1:42" ht="30" x14ac:dyDescent="0.25">
      <c r="A34" s="117">
        <v>44440</v>
      </c>
      <c r="B34" s="76"/>
      <c r="C34" s="25">
        <v>14000988</v>
      </c>
      <c r="D34" s="25" t="s">
        <v>92</v>
      </c>
      <c r="E34" s="77">
        <v>9</v>
      </c>
      <c r="F34" s="78">
        <v>618098.09359216795</v>
      </c>
      <c r="G34" s="79">
        <v>6005788.0765250297</v>
      </c>
      <c r="H34" s="77" t="s">
        <v>122</v>
      </c>
      <c r="I34" s="77" t="s">
        <v>123</v>
      </c>
      <c r="J34" s="80"/>
      <c r="K34" s="77" t="s">
        <v>368</v>
      </c>
      <c r="L34" s="25" t="s">
        <v>95</v>
      </c>
      <c r="M34" s="25" t="s">
        <v>96</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6"/>
      <c r="AO34" s="127"/>
      <c r="AP34" s="25" t="s">
        <v>202</v>
      </c>
    </row>
    <row r="35" spans="1:42" ht="30" x14ac:dyDescent="0.25">
      <c r="A35" s="117">
        <v>44441</v>
      </c>
      <c r="B35" s="76"/>
      <c r="C35" s="25">
        <v>14000931</v>
      </c>
      <c r="D35" s="25" t="s">
        <v>92</v>
      </c>
      <c r="E35" s="77">
        <v>9</v>
      </c>
      <c r="F35" s="78">
        <v>601878.16694563301</v>
      </c>
      <c r="G35" s="79">
        <v>5984146.4607970603</v>
      </c>
      <c r="H35" s="77" t="s">
        <v>168</v>
      </c>
      <c r="I35" s="77" t="s">
        <v>121</v>
      </c>
      <c r="J35" s="80"/>
      <c r="K35" s="77" t="s">
        <v>369</v>
      </c>
      <c r="L35" s="25" t="s">
        <v>112</v>
      </c>
      <c r="M35" s="25" t="s">
        <v>113</v>
      </c>
      <c r="N35" s="122"/>
      <c r="O35" s="122"/>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Unknown</v>
      </c>
      <c r="AN35" s="116"/>
      <c r="AO35" s="114"/>
      <c r="AP35" s="25" t="s">
        <v>209</v>
      </c>
    </row>
    <row r="36" spans="1:42" ht="30" x14ac:dyDescent="0.25">
      <c r="A36" s="117">
        <v>44441</v>
      </c>
      <c r="B36" s="76"/>
      <c r="C36" s="25">
        <v>14000932</v>
      </c>
      <c r="D36" s="25" t="s">
        <v>92</v>
      </c>
      <c r="E36" s="77">
        <v>9</v>
      </c>
      <c r="F36" s="78">
        <v>602457.77206016798</v>
      </c>
      <c r="G36" s="79">
        <v>5984531.5444654804</v>
      </c>
      <c r="H36" s="77" t="s">
        <v>168</v>
      </c>
      <c r="I36" s="77" t="s">
        <v>121</v>
      </c>
      <c r="J36" s="80"/>
      <c r="K36" s="77" t="s">
        <v>369</v>
      </c>
      <c r="L36" s="25" t="s">
        <v>99</v>
      </c>
      <c r="M36" s="25" t="s">
        <v>100</v>
      </c>
      <c r="N36" s="114">
        <v>0.5</v>
      </c>
      <c r="O36" s="114">
        <v>17</v>
      </c>
      <c r="P36" s="116" t="s">
        <v>101</v>
      </c>
      <c r="Q36" s="122"/>
      <c r="R36" s="116" t="s">
        <v>101</v>
      </c>
      <c r="S36" s="116" t="s">
        <v>101</v>
      </c>
      <c r="T36" s="127"/>
      <c r="U36" s="114">
        <v>0.3</v>
      </c>
      <c r="V36" s="116">
        <v>0</v>
      </c>
      <c r="W36" s="114">
        <v>0</v>
      </c>
      <c r="X36" s="116" t="s">
        <v>101</v>
      </c>
      <c r="Y36" s="114">
        <v>5</v>
      </c>
      <c r="Z36" s="114">
        <v>0.4</v>
      </c>
      <c r="AA36" s="116">
        <v>7</v>
      </c>
      <c r="AB36" s="25" t="s">
        <v>101</v>
      </c>
      <c r="AC36" s="25" t="s">
        <v>101</v>
      </c>
      <c r="AD36" s="116" t="s">
        <v>102</v>
      </c>
      <c r="AE36" s="116" t="s">
        <v>103</v>
      </c>
      <c r="AF36" s="22">
        <f t="shared" si="8"/>
        <v>0.8</v>
      </c>
      <c r="AG36" s="15">
        <f t="shared" si="1"/>
        <v>3</v>
      </c>
      <c r="AH36" s="7">
        <f t="shared" si="2"/>
        <v>10</v>
      </c>
      <c r="AI36" s="7">
        <f t="shared" si="3"/>
        <v>0</v>
      </c>
      <c r="AJ36" s="7">
        <f t="shared" si="4"/>
        <v>10</v>
      </c>
      <c r="AK36" s="12">
        <f t="shared" si="5"/>
        <v>0</v>
      </c>
      <c r="AL36" s="14">
        <f t="shared" si="9"/>
        <v>23</v>
      </c>
      <c r="AM36" s="16" t="str">
        <f t="shared" si="7"/>
        <v>Barrier</v>
      </c>
      <c r="AN36" s="125" t="s">
        <v>398</v>
      </c>
      <c r="AO36" s="114">
        <v>3</v>
      </c>
      <c r="AP36" s="25" t="s">
        <v>210</v>
      </c>
    </row>
    <row r="37" spans="1:42" ht="30" x14ac:dyDescent="0.25">
      <c r="A37" s="117">
        <v>44441</v>
      </c>
      <c r="B37" s="76"/>
      <c r="C37" s="25">
        <v>14001721</v>
      </c>
      <c r="D37" s="25" t="s">
        <v>92</v>
      </c>
      <c r="E37" s="77">
        <v>9</v>
      </c>
      <c r="F37" s="78">
        <v>603204.58546165703</v>
      </c>
      <c r="G37" s="79">
        <v>5988285.5603296403</v>
      </c>
      <c r="H37" s="77" t="s">
        <v>168</v>
      </c>
      <c r="I37" s="77" t="s">
        <v>121</v>
      </c>
      <c r="J37" s="80"/>
      <c r="K37" s="77" t="s">
        <v>364</v>
      </c>
      <c r="L37" s="25" t="s">
        <v>95</v>
      </c>
      <c r="M37" s="25" t="s">
        <v>96</v>
      </c>
      <c r="N37" s="114">
        <v>8</v>
      </c>
      <c r="O37" s="114">
        <v>2.5</v>
      </c>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Passable</v>
      </c>
      <c r="AN37" s="126"/>
      <c r="AO37" s="127"/>
      <c r="AP37" s="25" t="s">
        <v>532</v>
      </c>
    </row>
    <row r="38" spans="1:42" ht="30" x14ac:dyDescent="0.25">
      <c r="A38" s="117">
        <v>44441</v>
      </c>
      <c r="B38" s="76"/>
      <c r="C38" s="25">
        <v>14001775</v>
      </c>
      <c r="D38" s="25" t="s">
        <v>92</v>
      </c>
      <c r="E38" s="77">
        <v>9</v>
      </c>
      <c r="F38" s="78">
        <v>607923.557815757</v>
      </c>
      <c r="G38" s="79">
        <v>5987440.5667600203</v>
      </c>
      <c r="H38" s="77" t="s">
        <v>168</v>
      </c>
      <c r="I38" s="77" t="s">
        <v>121</v>
      </c>
      <c r="J38" s="80"/>
      <c r="K38" s="77" t="s">
        <v>370</v>
      </c>
      <c r="L38" s="25" t="s">
        <v>95</v>
      </c>
      <c r="M38" s="25" t="s">
        <v>96</v>
      </c>
      <c r="N38" s="114">
        <v>13</v>
      </c>
      <c r="O38" s="114">
        <v>2.5</v>
      </c>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Passable</v>
      </c>
      <c r="AN38" s="126"/>
      <c r="AO38" s="127"/>
      <c r="AP38" s="25" t="s">
        <v>211</v>
      </c>
    </row>
    <row r="39" spans="1:42" ht="30" x14ac:dyDescent="0.25">
      <c r="A39" s="117">
        <v>44441</v>
      </c>
      <c r="B39" s="76"/>
      <c r="C39" s="25">
        <v>14001414</v>
      </c>
      <c r="D39" s="25" t="s">
        <v>92</v>
      </c>
      <c r="E39" s="77">
        <v>9</v>
      </c>
      <c r="F39" s="78">
        <v>607342.92395980097</v>
      </c>
      <c r="G39" s="79">
        <v>5987705.4698965596</v>
      </c>
      <c r="H39" s="77" t="s">
        <v>168</v>
      </c>
      <c r="I39" s="77" t="s">
        <v>121</v>
      </c>
      <c r="J39" s="80"/>
      <c r="K39" s="77" t="s">
        <v>370</v>
      </c>
      <c r="L39" s="25" t="s">
        <v>99</v>
      </c>
      <c r="M39" s="25" t="s">
        <v>100</v>
      </c>
      <c r="N39" s="114">
        <v>0.4</v>
      </c>
      <c r="O39" s="114">
        <v>6</v>
      </c>
      <c r="P39" s="116" t="s">
        <v>101</v>
      </c>
      <c r="Q39" s="122"/>
      <c r="R39" s="116" t="s">
        <v>101</v>
      </c>
      <c r="S39" s="116" t="s">
        <v>101</v>
      </c>
      <c r="T39" s="122"/>
      <c r="U39" s="114">
        <v>0.2</v>
      </c>
      <c r="V39" s="116">
        <v>0</v>
      </c>
      <c r="W39" s="114">
        <v>0.2</v>
      </c>
      <c r="X39" s="116" t="s">
        <v>101</v>
      </c>
      <c r="Y39" s="114">
        <v>0</v>
      </c>
      <c r="Z39" s="114">
        <v>1</v>
      </c>
      <c r="AA39" s="116">
        <v>0</v>
      </c>
      <c r="AB39" s="25" t="s">
        <v>101</v>
      </c>
      <c r="AC39" s="25" t="s">
        <v>101</v>
      </c>
      <c r="AD39" s="116" t="s">
        <v>102</v>
      </c>
      <c r="AE39" s="116" t="s">
        <v>103</v>
      </c>
      <c r="AF39" s="22">
        <f t="shared" si="8"/>
        <v>2.5</v>
      </c>
      <c r="AG39" s="15">
        <f t="shared" si="1"/>
        <v>0</v>
      </c>
      <c r="AH39" s="7">
        <f t="shared" si="2"/>
        <v>10</v>
      </c>
      <c r="AI39" s="7">
        <f t="shared" si="3"/>
        <v>0</v>
      </c>
      <c r="AJ39" s="7">
        <f t="shared" si="4"/>
        <v>0</v>
      </c>
      <c r="AK39" s="12">
        <f t="shared" si="5"/>
        <v>6</v>
      </c>
      <c r="AL39" s="14">
        <f t="shared" si="9"/>
        <v>16</v>
      </c>
      <c r="AM39" s="16" t="str">
        <f t="shared" si="7"/>
        <v>Potential</v>
      </c>
      <c r="AN39" s="125" t="s">
        <v>398</v>
      </c>
      <c r="AO39" s="114">
        <v>3</v>
      </c>
      <c r="AP39" s="25" t="s">
        <v>212</v>
      </c>
    </row>
    <row r="40" spans="1:42" ht="30" x14ac:dyDescent="0.25">
      <c r="A40" s="117">
        <v>44441</v>
      </c>
      <c r="B40" s="76"/>
      <c r="C40" s="25">
        <v>14001411</v>
      </c>
      <c r="D40" s="25" t="s">
        <v>92</v>
      </c>
      <c r="E40" s="77">
        <v>9</v>
      </c>
      <c r="F40" s="78">
        <v>607303.34909975401</v>
      </c>
      <c r="G40" s="79">
        <v>5987118.6181682702</v>
      </c>
      <c r="H40" s="77" t="s">
        <v>168</v>
      </c>
      <c r="I40" s="77" t="s">
        <v>121</v>
      </c>
      <c r="J40" s="80"/>
      <c r="K40" s="77" t="s">
        <v>370</v>
      </c>
      <c r="L40" s="25" t="s">
        <v>95</v>
      </c>
      <c r="M40" s="25" t="s">
        <v>96</v>
      </c>
      <c r="N40" s="114">
        <v>5</v>
      </c>
      <c r="O40" s="114">
        <v>11</v>
      </c>
      <c r="P40" s="121"/>
      <c r="Q40" s="122"/>
      <c r="R40" s="121"/>
      <c r="S40" s="121"/>
      <c r="T40" s="122"/>
      <c r="U40" s="122"/>
      <c r="V40" s="121"/>
      <c r="W40" s="122"/>
      <c r="X40" s="121"/>
      <c r="Y40" s="122"/>
      <c r="Z40" s="122"/>
      <c r="AA40" s="121"/>
      <c r="AB40" s="25"/>
      <c r="AC40" s="25"/>
      <c r="AD40" s="121"/>
      <c r="AE40" s="121"/>
      <c r="AF40" s="22">
        <f t="shared" si="8"/>
        <v>0</v>
      </c>
      <c r="AG40" s="15">
        <f t="shared" si="1"/>
        <v>0</v>
      </c>
      <c r="AH40" s="7">
        <f t="shared" si="2"/>
        <v>0</v>
      </c>
      <c r="AI40" s="7">
        <f t="shared" si="3"/>
        <v>0</v>
      </c>
      <c r="AJ40" s="7">
        <f t="shared" si="4"/>
        <v>0</v>
      </c>
      <c r="AK40" s="12">
        <f t="shared" si="5"/>
        <v>0</v>
      </c>
      <c r="AL40" s="14">
        <f t="shared" si="9"/>
        <v>0</v>
      </c>
      <c r="AM40" s="16" t="str">
        <f t="shared" si="7"/>
        <v>Passable</v>
      </c>
      <c r="AN40" s="126"/>
      <c r="AO40" s="127"/>
      <c r="AP40" s="25" t="s">
        <v>213</v>
      </c>
    </row>
    <row r="41" spans="1:42" ht="30" x14ac:dyDescent="0.25">
      <c r="A41" s="117">
        <v>44441</v>
      </c>
      <c r="B41" s="76"/>
      <c r="C41" s="25">
        <v>2021090299</v>
      </c>
      <c r="D41" s="25" t="s">
        <v>92</v>
      </c>
      <c r="E41" s="77">
        <v>9</v>
      </c>
      <c r="F41" s="78">
        <v>598684</v>
      </c>
      <c r="G41" s="79">
        <v>5984563</v>
      </c>
      <c r="H41" s="77"/>
      <c r="I41" s="77" t="s">
        <v>121</v>
      </c>
      <c r="J41" s="80"/>
      <c r="K41" s="77" t="s">
        <v>371</v>
      </c>
      <c r="L41" s="25" t="s">
        <v>99</v>
      </c>
      <c r="M41" s="25" t="s">
        <v>100</v>
      </c>
      <c r="N41" s="114">
        <v>1</v>
      </c>
      <c r="O41" s="114">
        <v>15</v>
      </c>
      <c r="P41" s="116" t="s">
        <v>101</v>
      </c>
      <c r="Q41" s="122"/>
      <c r="R41" s="116" t="s">
        <v>101</v>
      </c>
      <c r="S41" s="116" t="s">
        <v>101</v>
      </c>
      <c r="T41" s="127"/>
      <c r="U41" s="114">
        <v>0.3</v>
      </c>
      <c r="V41" s="116">
        <v>0.1</v>
      </c>
      <c r="W41" s="114">
        <v>0.25</v>
      </c>
      <c r="X41" s="116" t="s">
        <v>101</v>
      </c>
      <c r="Y41" s="114">
        <v>3.5</v>
      </c>
      <c r="Z41" s="114">
        <v>0.9</v>
      </c>
      <c r="AA41" s="116">
        <v>10</v>
      </c>
      <c r="AB41" s="25" t="s">
        <v>101</v>
      </c>
      <c r="AC41" s="25" t="s">
        <v>101</v>
      </c>
      <c r="AD41" s="116" t="s">
        <v>102</v>
      </c>
      <c r="AE41" s="116" t="s">
        <v>103</v>
      </c>
      <c r="AF41" s="22">
        <f t="shared" si="8"/>
        <v>0.9</v>
      </c>
      <c r="AG41" s="15">
        <f t="shared" si="1"/>
        <v>3</v>
      </c>
      <c r="AH41" s="7">
        <f t="shared" si="2"/>
        <v>10</v>
      </c>
      <c r="AI41" s="7">
        <f t="shared" si="3"/>
        <v>0</v>
      </c>
      <c r="AJ41" s="7">
        <f t="shared" si="4"/>
        <v>10</v>
      </c>
      <c r="AK41" s="12">
        <f t="shared" si="5"/>
        <v>0</v>
      </c>
      <c r="AL41" s="14">
        <f t="shared" si="9"/>
        <v>23</v>
      </c>
      <c r="AM41" s="16" t="str">
        <f t="shared" si="7"/>
        <v>Barrier</v>
      </c>
      <c r="AN41" s="125" t="s">
        <v>398</v>
      </c>
      <c r="AO41" s="114">
        <v>3</v>
      </c>
      <c r="AP41" s="25" t="s">
        <v>215</v>
      </c>
    </row>
    <row r="42" spans="1:42" ht="30" x14ac:dyDescent="0.25">
      <c r="A42" s="117">
        <v>44441</v>
      </c>
      <c r="B42" s="76"/>
      <c r="C42" s="25">
        <v>14000536</v>
      </c>
      <c r="D42" s="116" t="s">
        <v>92</v>
      </c>
      <c r="E42" s="77">
        <v>9</v>
      </c>
      <c r="F42" s="78">
        <v>598400.61827861203</v>
      </c>
      <c r="G42" s="79">
        <v>5984485.4993963102</v>
      </c>
      <c r="H42" s="77" t="s">
        <v>168</v>
      </c>
      <c r="I42" s="77" t="s">
        <v>121</v>
      </c>
      <c r="J42" s="80"/>
      <c r="K42" s="77" t="s">
        <v>371</v>
      </c>
      <c r="L42" s="25" t="s">
        <v>99</v>
      </c>
      <c r="M42" s="25" t="s">
        <v>100</v>
      </c>
      <c r="N42" s="114">
        <v>1</v>
      </c>
      <c r="O42" s="114">
        <v>16</v>
      </c>
      <c r="P42" s="116" t="s">
        <v>101</v>
      </c>
      <c r="Q42" s="122"/>
      <c r="R42" s="116" t="s">
        <v>101</v>
      </c>
      <c r="S42" s="116" t="s">
        <v>101</v>
      </c>
      <c r="T42" s="122"/>
      <c r="U42" s="114">
        <v>1</v>
      </c>
      <c r="V42" s="116">
        <v>0.2</v>
      </c>
      <c r="W42" s="114">
        <v>0.01</v>
      </c>
      <c r="X42" s="116" t="s">
        <v>101</v>
      </c>
      <c r="Y42" s="114">
        <v>2.5</v>
      </c>
      <c r="Z42" s="114">
        <v>0.8</v>
      </c>
      <c r="AA42" s="116">
        <v>5</v>
      </c>
      <c r="AB42" s="25" t="s">
        <v>101</v>
      </c>
      <c r="AC42" s="25" t="s">
        <v>101</v>
      </c>
      <c r="AD42" s="116" t="s">
        <v>102</v>
      </c>
      <c r="AE42" s="116" t="s">
        <v>103</v>
      </c>
      <c r="AF42" s="22">
        <f t="shared" si="8"/>
        <v>0.8</v>
      </c>
      <c r="AG42" s="15">
        <f t="shared" si="1"/>
        <v>3</v>
      </c>
      <c r="AH42" s="7">
        <f t="shared" si="2"/>
        <v>10</v>
      </c>
      <c r="AI42" s="7">
        <f t="shared" si="3"/>
        <v>5</v>
      </c>
      <c r="AJ42" s="7">
        <f t="shared" si="4"/>
        <v>5</v>
      </c>
      <c r="AK42" s="12">
        <f t="shared" si="5"/>
        <v>0</v>
      </c>
      <c r="AL42" s="14">
        <f t="shared" si="9"/>
        <v>23</v>
      </c>
      <c r="AM42" s="16" t="str">
        <f t="shared" si="7"/>
        <v>Barrier</v>
      </c>
      <c r="AN42" s="125" t="s">
        <v>398</v>
      </c>
      <c r="AO42" s="114">
        <v>3</v>
      </c>
      <c r="AP42" s="25" t="s">
        <v>214</v>
      </c>
    </row>
    <row r="43" spans="1:42" ht="30" x14ac:dyDescent="0.25">
      <c r="A43" s="117">
        <v>44441</v>
      </c>
      <c r="B43" s="76"/>
      <c r="C43" s="25">
        <v>14000453</v>
      </c>
      <c r="D43" s="25" t="s">
        <v>92</v>
      </c>
      <c r="E43" s="77">
        <v>9</v>
      </c>
      <c r="F43" s="78">
        <v>649728</v>
      </c>
      <c r="G43" s="79">
        <v>6029328</v>
      </c>
      <c r="H43" s="77" t="s">
        <v>168</v>
      </c>
      <c r="I43" s="77" t="s">
        <v>216</v>
      </c>
      <c r="J43" s="80"/>
      <c r="K43" s="77" t="s">
        <v>372</v>
      </c>
      <c r="L43" s="25" t="s">
        <v>99</v>
      </c>
      <c r="M43" s="25" t="s">
        <v>100</v>
      </c>
      <c r="N43" s="75">
        <v>2</v>
      </c>
      <c r="O43" s="75">
        <v>25</v>
      </c>
      <c r="P43" s="25" t="s">
        <v>101</v>
      </c>
      <c r="Q43" s="75"/>
      <c r="R43" s="25" t="s">
        <v>101</v>
      </c>
      <c r="S43" s="25" t="s">
        <v>101</v>
      </c>
      <c r="T43" s="75"/>
      <c r="U43" s="75">
        <v>1.5</v>
      </c>
      <c r="V43" s="25">
        <v>0.41</v>
      </c>
      <c r="W43" s="75">
        <v>0.6</v>
      </c>
      <c r="X43" s="25" t="s">
        <v>104</v>
      </c>
      <c r="Y43" s="75">
        <v>7</v>
      </c>
      <c r="Z43" s="75">
        <v>1.9</v>
      </c>
      <c r="AA43" s="25">
        <v>6</v>
      </c>
      <c r="AB43" s="25" t="s">
        <v>101</v>
      </c>
      <c r="AC43" s="25" t="s">
        <v>101</v>
      </c>
      <c r="AD43" s="25" t="s">
        <v>102</v>
      </c>
      <c r="AE43" s="25" t="s">
        <v>103</v>
      </c>
      <c r="AF43" s="22">
        <f t="shared" si="8"/>
        <v>0.95</v>
      </c>
      <c r="AG43" s="15">
        <f t="shared" si="1"/>
        <v>3</v>
      </c>
      <c r="AH43" s="7">
        <f t="shared" si="2"/>
        <v>10</v>
      </c>
      <c r="AI43" s="7">
        <f t="shared" si="3"/>
        <v>10</v>
      </c>
      <c r="AJ43" s="7">
        <f t="shared" si="4"/>
        <v>10</v>
      </c>
      <c r="AK43" s="12">
        <f t="shared" si="5"/>
        <v>0</v>
      </c>
      <c r="AL43" s="14">
        <f t="shared" si="9"/>
        <v>33</v>
      </c>
      <c r="AM43" s="16" t="str">
        <f t="shared" si="7"/>
        <v>Barrier</v>
      </c>
      <c r="AN43" s="125" t="s">
        <v>398</v>
      </c>
      <c r="AO43" s="114">
        <v>3</v>
      </c>
      <c r="AP43" s="25" t="s">
        <v>533</v>
      </c>
    </row>
    <row r="44" spans="1:42" ht="30" x14ac:dyDescent="0.25">
      <c r="A44" s="117">
        <v>44441</v>
      </c>
      <c r="B44" s="76"/>
      <c r="C44" s="116">
        <v>2021090202</v>
      </c>
      <c r="D44" s="125" t="s">
        <v>92</v>
      </c>
      <c r="E44" s="77">
        <v>9</v>
      </c>
      <c r="F44" s="78">
        <v>605230</v>
      </c>
      <c r="G44" s="79">
        <v>5992698</v>
      </c>
      <c r="H44" s="77" t="s">
        <v>218</v>
      </c>
      <c r="I44" s="77" t="s">
        <v>121</v>
      </c>
      <c r="J44" s="80"/>
      <c r="K44" s="77" t="s">
        <v>366</v>
      </c>
      <c r="L44" s="25" t="s">
        <v>95</v>
      </c>
      <c r="M44" s="25" t="s">
        <v>96</v>
      </c>
      <c r="N44" s="114">
        <v>10</v>
      </c>
      <c r="O44" s="114">
        <v>5</v>
      </c>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Passable</v>
      </c>
      <c r="AN44" s="126"/>
      <c r="AO44" s="127"/>
      <c r="AP44" s="25" t="s">
        <v>217</v>
      </c>
    </row>
    <row r="45" spans="1:42" ht="30" x14ac:dyDescent="0.25">
      <c r="A45" s="117">
        <v>44441</v>
      </c>
      <c r="B45" s="76"/>
      <c r="C45" s="25">
        <v>14000312</v>
      </c>
      <c r="D45" s="25" t="s">
        <v>92</v>
      </c>
      <c r="E45" s="77">
        <v>9</v>
      </c>
      <c r="F45" s="78">
        <v>602253.548910824</v>
      </c>
      <c r="G45" s="79">
        <v>5994059.3543407395</v>
      </c>
      <c r="H45" s="77" t="s">
        <v>218</v>
      </c>
      <c r="I45" s="77" t="s">
        <v>121</v>
      </c>
      <c r="J45" s="80"/>
      <c r="K45" s="77" t="s">
        <v>373</v>
      </c>
      <c r="L45" s="25" t="s">
        <v>112</v>
      </c>
      <c r="M45" s="25" t="s">
        <v>113</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219</v>
      </c>
    </row>
    <row r="46" spans="1:42" ht="30" x14ac:dyDescent="0.25">
      <c r="A46" s="117">
        <v>44441</v>
      </c>
      <c r="B46" s="76"/>
      <c r="C46" s="25">
        <v>14000477</v>
      </c>
      <c r="D46" s="25" t="s">
        <v>92</v>
      </c>
      <c r="E46" s="77">
        <v>9</v>
      </c>
      <c r="F46" s="78">
        <v>602528.97906432895</v>
      </c>
      <c r="G46" s="79">
        <v>5994071.1778247096</v>
      </c>
      <c r="H46" s="77" t="s">
        <v>218</v>
      </c>
      <c r="I46" s="77" t="s">
        <v>121</v>
      </c>
      <c r="J46" s="80"/>
      <c r="K46" s="77" t="s">
        <v>373</v>
      </c>
      <c r="L46" s="25" t="s">
        <v>112</v>
      </c>
      <c r="M46" s="25" t="s">
        <v>113</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220</v>
      </c>
    </row>
    <row r="47" spans="1:42" ht="30" x14ac:dyDescent="0.25">
      <c r="A47" s="117">
        <v>44442</v>
      </c>
      <c r="B47" s="76"/>
      <c r="C47" s="25">
        <v>14000564</v>
      </c>
      <c r="D47" s="25" t="s">
        <v>92</v>
      </c>
      <c r="E47" s="77">
        <v>9</v>
      </c>
      <c r="F47" s="78">
        <v>608289.82730389596</v>
      </c>
      <c r="G47" s="79">
        <v>6021336.3061666302</v>
      </c>
      <c r="H47" s="77" t="s">
        <v>172</v>
      </c>
      <c r="I47" s="77" t="s">
        <v>173</v>
      </c>
      <c r="J47" s="80"/>
      <c r="K47" s="77" t="s">
        <v>374</v>
      </c>
      <c r="L47" s="25" t="s">
        <v>95</v>
      </c>
      <c r="M47" s="25" t="s">
        <v>96</v>
      </c>
      <c r="N47" s="114">
        <v>18</v>
      </c>
      <c r="O47" s="114">
        <v>5</v>
      </c>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Passable</v>
      </c>
      <c r="AN47" s="126"/>
      <c r="AO47" s="127"/>
      <c r="AP47" s="25" t="s">
        <v>221</v>
      </c>
    </row>
    <row r="48" spans="1:42" ht="30" x14ac:dyDescent="0.25">
      <c r="A48" s="117">
        <v>44442</v>
      </c>
      <c r="B48" s="76"/>
      <c r="C48" s="25">
        <v>14000689</v>
      </c>
      <c r="D48" s="25" t="s">
        <v>92</v>
      </c>
      <c r="E48" s="77">
        <v>9</v>
      </c>
      <c r="F48" s="78">
        <v>608006.42109040997</v>
      </c>
      <c r="G48" s="79">
        <v>6018209.0495384904</v>
      </c>
      <c r="H48" s="77" t="s">
        <v>222</v>
      </c>
      <c r="I48" s="77" t="s">
        <v>173</v>
      </c>
      <c r="J48" s="80"/>
      <c r="K48" s="77" t="s">
        <v>375</v>
      </c>
      <c r="L48" s="25" t="s">
        <v>95</v>
      </c>
      <c r="M48" s="25" t="s">
        <v>96</v>
      </c>
      <c r="N48" s="114">
        <v>18</v>
      </c>
      <c r="O48" s="114">
        <v>5</v>
      </c>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Passable</v>
      </c>
      <c r="AN48" s="126"/>
      <c r="AO48" s="127"/>
      <c r="AP48" s="25" t="s">
        <v>223</v>
      </c>
    </row>
    <row r="49" spans="1:42" ht="30" x14ac:dyDescent="0.25">
      <c r="A49" s="117">
        <v>44442</v>
      </c>
      <c r="B49" s="76"/>
      <c r="C49" s="25">
        <v>14000695</v>
      </c>
      <c r="D49" s="25" t="s">
        <v>92</v>
      </c>
      <c r="E49" s="77">
        <v>9</v>
      </c>
      <c r="F49" s="78">
        <v>607829</v>
      </c>
      <c r="G49" s="79">
        <v>6016958</v>
      </c>
      <c r="H49" s="77" t="s">
        <v>172</v>
      </c>
      <c r="I49" s="77" t="s">
        <v>173</v>
      </c>
      <c r="J49" s="80"/>
      <c r="K49" s="77" t="s">
        <v>375</v>
      </c>
      <c r="L49" s="25" t="s">
        <v>99</v>
      </c>
      <c r="M49" s="25" t="s">
        <v>100</v>
      </c>
      <c r="N49" s="114">
        <v>0.5</v>
      </c>
      <c r="O49" s="114">
        <v>16</v>
      </c>
      <c r="P49" s="116" t="s">
        <v>101</v>
      </c>
      <c r="Q49" s="122"/>
      <c r="R49" s="116" t="s">
        <v>101</v>
      </c>
      <c r="S49" s="116" t="s">
        <v>101</v>
      </c>
      <c r="T49" s="122"/>
      <c r="U49" s="114">
        <v>2.5</v>
      </c>
      <c r="V49" s="116">
        <v>0.7</v>
      </c>
      <c r="W49" s="114">
        <v>0.3</v>
      </c>
      <c r="X49" s="116" t="s">
        <v>101</v>
      </c>
      <c r="Y49" s="114">
        <v>4.5</v>
      </c>
      <c r="Z49" s="114">
        <v>2.2000000000000002</v>
      </c>
      <c r="AA49" s="116">
        <v>6.5</v>
      </c>
      <c r="AB49" s="25" t="s">
        <v>101</v>
      </c>
      <c r="AC49" s="25" t="s">
        <v>101</v>
      </c>
      <c r="AD49" s="116" t="s">
        <v>102</v>
      </c>
      <c r="AE49" s="116" t="s">
        <v>110</v>
      </c>
      <c r="AF49" s="22">
        <f t="shared" si="8"/>
        <v>4.4000000000000004</v>
      </c>
      <c r="AG49" s="15">
        <f t="shared" si="1"/>
        <v>3</v>
      </c>
      <c r="AH49" s="7">
        <f t="shared" si="2"/>
        <v>10</v>
      </c>
      <c r="AI49" s="7">
        <f t="shared" si="3"/>
        <v>10</v>
      </c>
      <c r="AJ49" s="7">
        <f t="shared" si="4"/>
        <v>10</v>
      </c>
      <c r="AK49" s="12">
        <f t="shared" si="5"/>
        <v>6</v>
      </c>
      <c r="AL49" s="14">
        <f t="shared" si="9"/>
        <v>39</v>
      </c>
      <c r="AM49" s="16" t="str">
        <f t="shared" si="7"/>
        <v>Barrier</v>
      </c>
      <c r="AN49" s="125" t="s">
        <v>399</v>
      </c>
      <c r="AO49" s="114">
        <v>10</v>
      </c>
      <c r="AP49" s="25" t="s">
        <v>224</v>
      </c>
    </row>
    <row r="50" spans="1:42" ht="30" x14ac:dyDescent="0.25">
      <c r="A50" s="117">
        <v>44442</v>
      </c>
      <c r="B50" s="76"/>
      <c r="C50" s="25">
        <v>14000684</v>
      </c>
      <c r="D50" s="25" t="s">
        <v>92</v>
      </c>
      <c r="E50" s="77">
        <v>9</v>
      </c>
      <c r="F50" s="78">
        <v>607024.31804250402</v>
      </c>
      <c r="G50" s="79">
        <v>6013942.0869587902</v>
      </c>
      <c r="H50" s="77" t="s">
        <v>172</v>
      </c>
      <c r="I50" s="77" t="s">
        <v>173</v>
      </c>
      <c r="J50" s="80"/>
      <c r="K50" s="77" t="s">
        <v>375</v>
      </c>
      <c r="L50" s="25" t="s">
        <v>99</v>
      </c>
      <c r="M50" s="25" t="s">
        <v>100</v>
      </c>
      <c r="N50" s="114">
        <v>0.6</v>
      </c>
      <c r="O50" s="114">
        <v>15</v>
      </c>
      <c r="P50" s="116" t="s">
        <v>101</v>
      </c>
      <c r="Q50" s="122"/>
      <c r="R50" s="116" t="s">
        <v>101</v>
      </c>
      <c r="S50" s="116" t="s">
        <v>101</v>
      </c>
      <c r="T50" s="122"/>
      <c r="U50" s="114">
        <v>0.5</v>
      </c>
      <c r="V50" s="116">
        <v>0.1</v>
      </c>
      <c r="W50" s="114">
        <v>0.1</v>
      </c>
      <c r="X50" s="116" t="s">
        <v>101</v>
      </c>
      <c r="Y50" s="114">
        <v>1</v>
      </c>
      <c r="Z50" s="114">
        <v>1</v>
      </c>
      <c r="AA50" s="116">
        <v>1</v>
      </c>
      <c r="AB50" s="25" t="s">
        <v>101</v>
      </c>
      <c r="AC50" s="25" t="s">
        <v>101</v>
      </c>
      <c r="AD50" s="116" t="s">
        <v>102</v>
      </c>
      <c r="AE50" s="116" t="s">
        <v>103</v>
      </c>
      <c r="AF50" s="22">
        <f t="shared" si="8"/>
        <v>1.6666666666666667</v>
      </c>
      <c r="AG50" s="15">
        <f t="shared" si="1"/>
        <v>3</v>
      </c>
      <c r="AH50" s="7">
        <f t="shared" si="2"/>
        <v>10</v>
      </c>
      <c r="AI50" s="7">
        <f t="shared" si="3"/>
        <v>0</v>
      </c>
      <c r="AJ50" s="7">
        <f t="shared" si="4"/>
        <v>5</v>
      </c>
      <c r="AK50" s="12">
        <f t="shared" si="5"/>
        <v>6</v>
      </c>
      <c r="AL50" s="14">
        <f t="shared" si="9"/>
        <v>24</v>
      </c>
      <c r="AM50" s="16" t="str">
        <f t="shared" si="7"/>
        <v>Barrier</v>
      </c>
      <c r="AN50" s="125" t="s">
        <v>398</v>
      </c>
      <c r="AO50" s="114">
        <v>3</v>
      </c>
      <c r="AP50" s="25" t="s">
        <v>225</v>
      </c>
    </row>
    <row r="51" spans="1:42" ht="30" x14ac:dyDescent="0.25">
      <c r="A51" s="117">
        <v>44442</v>
      </c>
      <c r="B51" s="76"/>
      <c r="C51" s="25">
        <v>14000678</v>
      </c>
      <c r="D51" s="25" t="s">
        <v>92</v>
      </c>
      <c r="E51" s="77">
        <v>9</v>
      </c>
      <c r="F51" s="78">
        <v>608209</v>
      </c>
      <c r="G51" s="79">
        <v>6010247</v>
      </c>
      <c r="H51" s="77" t="s">
        <v>172</v>
      </c>
      <c r="I51" s="77" t="s">
        <v>173</v>
      </c>
      <c r="J51" s="80">
        <v>41.1</v>
      </c>
      <c r="K51" s="77" t="s">
        <v>375</v>
      </c>
      <c r="L51" s="25" t="s">
        <v>99</v>
      </c>
      <c r="M51" s="25" t="s">
        <v>120</v>
      </c>
      <c r="N51" s="114">
        <v>1.5</v>
      </c>
      <c r="O51" s="114">
        <v>26</v>
      </c>
      <c r="P51" s="116" t="s">
        <v>104</v>
      </c>
      <c r="Q51" s="114">
        <v>0.15</v>
      </c>
      <c r="R51" s="116" t="s">
        <v>104</v>
      </c>
      <c r="S51" s="116" t="s">
        <v>104</v>
      </c>
      <c r="T51" s="114">
        <v>95</v>
      </c>
      <c r="U51" s="114">
        <v>3</v>
      </c>
      <c r="V51" s="116">
        <v>0</v>
      </c>
      <c r="W51" s="114">
        <v>0.15</v>
      </c>
      <c r="X51" s="116" t="s">
        <v>101</v>
      </c>
      <c r="Y51" s="114">
        <v>0.5</v>
      </c>
      <c r="Z51" s="114">
        <v>1.4</v>
      </c>
      <c r="AA51" s="116">
        <v>0</v>
      </c>
      <c r="AB51" s="25" t="s">
        <v>101</v>
      </c>
      <c r="AC51" s="25" t="s">
        <v>101</v>
      </c>
      <c r="AD51" s="116" t="s">
        <v>102</v>
      </c>
      <c r="AE51" s="116" t="s">
        <v>110</v>
      </c>
      <c r="AF51" s="22">
        <f t="shared" si="8"/>
        <v>0.93333333333333324</v>
      </c>
      <c r="AG51" s="15">
        <f t="shared" si="1"/>
        <v>3</v>
      </c>
      <c r="AH51" s="7">
        <f t="shared" si="2"/>
        <v>5</v>
      </c>
      <c r="AI51" s="7">
        <f t="shared" si="3"/>
        <v>0</v>
      </c>
      <c r="AJ51" s="7">
        <f t="shared" si="4"/>
        <v>0</v>
      </c>
      <c r="AK51" s="12">
        <f t="shared" si="5"/>
        <v>0</v>
      </c>
      <c r="AL51" s="14">
        <f t="shared" si="9"/>
        <v>8</v>
      </c>
      <c r="AM51" s="16" t="str">
        <f t="shared" si="7"/>
        <v>Passable</v>
      </c>
      <c r="AN51" s="126"/>
      <c r="AO51" s="127"/>
      <c r="AP51" s="25" t="s">
        <v>226</v>
      </c>
    </row>
    <row r="52" spans="1:42" ht="30" x14ac:dyDescent="0.25">
      <c r="A52" s="117">
        <v>44442</v>
      </c>
      <c r="B52" s="76"/>
      <c r="C52" s="25">
        <v>14000680</v>
      </c>
      <c r="D52" s="25" t="s">
        <v>92</v>
      </c>
      <c r="E52" s="77">
        <v>9</v>
      </c>
      <c r="F52" s="78">
        <v>612913.40752716805</v>
      </c>
      <c r="G52" s="79">
        <v>6009066.9226235598</v>
      </c>
      <c r="H52" s="77" t="s">
        <v>122</v>
      </c>
      <c r="I52" s="77" t="s">
        <v>173</v>
      </c>
      <c r="J52" s="80">
        <v>36.1</v>
      </c>
      <c r="K52" s="77" t="s">
        <v>375</v>
      </c>
      <c r="L52" s="25" t="s">
        <v>95</v>
      </c>
      <c r="M52" s="25" t="s">
        <v>96</v>
      </c>
      <c r="N52" s="114">
        <v>8</v>
      </c>
      <c r="O52" s="114">
        <v>5</v>
      </c>
      <c r="P52" s="121"/>
      <c r="Q52" s="122"/>
      <c r="R52" s="121"/>
      <c r="S52" s="121"/>
      <c r="T52" s="122"/>
      <c r="U52" s="122"/>
      <c r="V52" s="121"/>
      <c r="W52" s="122"/>
      <c r="X52" s="121"/>
      <c r="Y52" s="122"/>
      <c r="Z52" s="122"/>
      <c r="AA52" s="121"/>
      <c r="AB52" s="25"/>
      <c r="AC52" s="25"/>
      <c r="AD52" s="121"/>
      <c r="AE52" s="121"/>
      <c r="AF52" s="22">
        <f t="shared" si="8"/>
        <v>0</v>
      </c>
      <c r="AG52" s="15">
        <f t="shared" si="1"/>
        <v>0</v>
      </c>
      <c r="AH52" s="7">
        <f t="shared" si="2"/>
        <v>0</v>
      </c>
      <c r="AI52" s="7">
        <f t="shared" si="3"/>
        <v>0</v>
      </c>
      <c r="AJ52" s="7">
        <f t="shared" si="4"/>
        <v>0</v>
      </c>
      <c r="AK52" s="12">
        <f t="shared" si="5"/>
        <v>0</v>
      </c>
      <c r="AL52" s="14">
        <f t="shared" si="9"/>
        <v>0</v>
      </c>
      <c r="AM52" s="16" t="str">
        <f t="shared" si="7"/>
        <v>Passable</v>
      </c>
      <c r="AN52" s="126"/>
      <c r="AO52" s="127"/>
      <c r="AP52" s="25" t="s">
        <v>227</v>
      </c>
    </row>
    <row r="53" spans="1:42" ht="30" x14ac:dyDescent="0.25">
      <c r="A53" s="117">
        <v>44442</v>
      </c>
      <c r="B53" s="76"/>
      <c r="C53" s="25">
        <v>14001323</v>
      </c>
      <c r="D53" s="25" t="s">
        <v>92</v>
      </c>
      <c r="E53" s="77">
        <v>9</v>
      </c>
      <c r="F53" s="78">
        <v>612980.54626600898</v>
      </c>
      <c r="G53" s="79">
        <v>6011439.1621690402</v>
      </c>
      <c r="H53" s="77" t="s">
        <v>228</v>
      </c>
      <c r="I53" s="77" t="s">
        <v>232</v>
      </c>
      <c r="J53" s="80"/>
      <c r="K53" s="77" t="s">
        <v>374</v>
      </c>
      <c r="L53" s="25" t="s">
        <v>112</v>
      </c>
      <c r="M53" s="25" t="s">
        <v>113</v>
      </c>
      <c r="N53" s="122"/>
      <c r="O53" s="122"/>
      <c r="P53" s="121"/>
      <c r="Q53" s="122"/>
      <c r="R53" s="121"/>
      <c r="S53" s="121"/>
      <c r="T53" s="122"/>
      <c r="U53" s="122"/>
      <c r="V53" s="121"/>
      <c r="W53" s="122"/>
      <c r="X53" s="121"/>
      <c r="Y53" s="122"/>
      <c r="Z53" s="122"/>
      <c r="AA53" s="121"/>
      <c r="AB53" s="25"/>
      <c r="AC53" s="25"/>
      <c r="AD53" s="121"/>
      <c r="AE53" s="121"/>
      <c r="AF53" s="22">
        <f t="shared" si="8"/>
        <v>0</v>
      </c>
      <c r="AG53" s="15">
        <f t="shared" si="1"/>
        <v>0</v>
      </c>
      <c r="AH53" s="7">
        <f t="shared" si="2"/>
        <v>0</v>
      </c>
      <c r="AI53" s="7">
        <f t="shared" si="3"/>
        <v>0</v>
      </c>
      <c r="AJ53" s="7">
        <f t="shared" si="4"/>
        <v>0</v>
      </c>
      <c r="AK53" s="12">
        <f t="shared" si="5"/>
        <v>0</v>
      </c>
      <c r="AL53" s="14">
        <f t="shared" si="9"/>
        <v>0</v>
      </c>
      <c r="AM53" s="16" t="str">
        <f t="shared" si="7"/>
        <v>Unknown</v>
      </c>
      <c r="AN53" s="116"/>
      <c r="AO53" s="114"/>
      <c r="AP53" s="25" t="s">
        <v>229</v>
      </c>
    </row>
    <row r="54" spans="1:42" ht="45" x14ac:dyDescent="0.25">
      <c r="A54" s="117">
        <v>44442</v>
      </c>
      <c r="B54" s="76"/>
      <c r="C54" s="25">
        <v>2021090303</v>
      </c>
      <c r="D54" s="25" t="s">
        <v>92</v>
      </c>
      <c r="E54" s="77">
        <v>9</v>
      </c>
      <c r="F54" s="78">
        <v>614402</v>
      </c>
      <c r="G54" s="79">
        <v>6010350</v>
      </c>
      <c r="H54" s="77" t="s">
        <v>228</v>
      </c>
      <c r="I54" s="77" t="s">
        <v>231</v>
      </c>
      <c r="J54" s="80"/>
      <c r="K54" s="77" t="s">
        <v>376</v>
      </c>
      <c r="L54" s="25" t="s">
        <v>99</v>
      </c>
      <c r="M54" s="25" t="s">
        <v>100</v>
      </c>
      <c r="N54" s="114">
        <v>1.2</v>
      </c>
      <c r="O54" s="114">
        <v>14</v>
      </c>
      <c r="P54" s="116" t="s">
        <v>101</v>
      </c>
      <c r="Q54" s="122"/>
      <c r="R54" s="116" t="s">
        <v>101</v>
      </c>
      <c r="S54" s="116" t="s">
        <v>101</v>
      </c>
      <c r="T54" s="122"/>
      <c r="U54" s="114">
        <v>1.5</v>
      </c>
      <c r="V54" s="116">
        <v>0.5</v>
      </c>
      <c r="W54" s="114">
        <v>0.6</v>
      </c>
      <c r="X54" s="116" t="s">
        <v>101</v>
      </c>
      <c r="Y54" s="114">
        <v>2.5</v>
      </c>
      <c r="Z54" s="114">
        <v>2</v>
      </c>
      <c r="AA54" s="116">
        <v>2.5</v>
      </c>
      <c r="AB54" s="25" t="s">
        <v>101</v>
      </c>
      <c r="AC54" s="25" t="s">
        <v>104</v>
      </c>
      <c r="AD54" s="116" t="s">
        <v>102</v>
      </c>
      <c r="AE54" s="116" t="s">
        <v>110</v>
      </c>
      <c r="AF54" s="22">
        <f t="shared" si="8"/>
        <v>1.6666666666666667</v>
      </c>
      <c r="AG54" s="15">
        <f t="shared" si="1"/>
        <v>0</v>
      </c>
      <c r="AH54" s="7">
        <f t="shared" si="2"/>
        <v>10</v>
      </c>
      <c r="AI54" s="7">
        <f t="shared" si="3"/>
        <v>10</v>
      </c>
      <c r="AJ54" s="7">
        <f t="shared" si="4"/>
        <v>5</v>
      </c>
      <c r="AK54" s="12">
        <f t="shared" si="5"/>
        <v>6</v>
      </c>
      <c r="AL54" s="14">
        <f t="shared" si="9"/>
        <v>31</v>
      </c>
      <c r="AM54" s="16" t="str">
        <f t="shared" si="7"/>
        <v>Barrier</v>
      </c>
      <c r="AN54" s="125" t="s">
        <v>399</v>
      </c>
      <c r="AO54" s="114">
        <v>10</v>
      </c>
      <c r="AP54" s="25" t="s">
        <v>230</v>
      </c>
    </row>
    <row r="55" spans="1:42" ht="30" x14ac:dyDescent="0.25">
      <c r="A55" s="117">
        <v>44442</v>
      </c>
      <c r="B55" s="76"/>
      <c r="C55" s="25">
        <v>2021090399</v>
      </c>
      <c r="D55" s="25" t="s">
        <v>92</v>
      </c>
      <c r="E55" s="77">
        <v>9</v>
      </c>
      <c r="F55" s="78">
        <v>614676</v>
      </c>
      <c r="G55" s="79">
        <v>6007859</v>
      </c>
      <c r="H55" s="77" t="s">
        <v>124</v>
      </c>
      <c r="I55" s="77" t="s">
        <v>173</v>
      </c>
      <c r="J55" s="80"/>
      <c r="K55" s="77" t="s">
        <v>375</v>
      </c>
      <c r="L55" s="25" t="s">
        <v>95</v>
      </c>
      <c r="M55" s="25" t="s">
        <v>96</v>
      </c>
      <c r="N55" s="114">
        <v>19</v>
      </c>
      <c r="O55" s="114">
        <v>5</v>
      </c>
      <c r="P55" s="121"/>
      <c r="Q55" s="122"/>
      <c r="R55" s="121"/>
      <c r="S55" s="121"/>
      <c r="T55" s="122"/>
      <c r="U55" s="122"/>
      <c r="V55" s="121"/>
      <c r="W55" s="122"/>
      <c r="X55" s="121"/>
      <c r="Y55" s="122"/>
      <c r="Z55" s="122"/>
      <c r="AA55" s="121"/>
      <c r="AB55" s="25"/>
      <c r="AC55" s="25"/>
      <c r="AD55" s="121"/>
      <c r="AE55" s="121"/>
      <c r="AF55" s="22">
        <f t="shared" si="8"/>
        <v>0</v>
      </c>
      <c r="AG55" s="15">
        <f t="shared" si="1"/>
        <v>0</v>
      </c>
      <c r="AH55" s="7">
        <f t="shared" si="2"/>
        <v>0</v>
      </c>
      <c r="AI55" s="7">
        <f t="shared" si="3"/>
        <v>0</v>
      </c>
      <c r="AJ55" s="7">
        <f t="shared" si="4"/>
        <v>0</v>
      </c>
      <c r="AK55" s="12">
        <f t="shared" si="5"/>
        <v>0</v>
      </c>
      <c r="AL55" s="14">
        <f t="shared" si="9"/>
        <v>0</v>
      </c>
      <c r="AM55" s="16" t="str">
        <f t="shared" si="7"/>
        <v>Passable</v>
      </c>
      <c r="AN55" s="126"/>
      <c r="AO55" s="127"/>
      <c r="AP55" s="25" t="s">
        <v>233</v>
      </c>
    </row>
    <row r="56" spans="1:42" ht="30" x14ac:dyDescent="0.25">
      <c r="A56" s="117">
        <v>44442</v>
      </c>
      <c r="B56" s="76"/>
      <c r="C56" s="25">
        <v>14001177</v>
      </c>
      <c r="D56" s="25" t="s">
        <v>92</v>
      </c>
      <c r="E56" s="77">
        <v>9</v>
      </c>
      <c r="F56" s="78">
        <v>620026.22266459605</v>
      </c>
      <c r="G56" s="79">
        <v>6010830.7737105498</v>
      </c>
      <c r="H56" s="77" t="s">
        <v>234</v>
      </c>
      <c r="I56" s="77" t="s">
        <v>235</v>
      </c>
      <c r="J56" s="80"/>
      <c r="K56" s="77" t="s">
        <v>375</v>
      </c>
      <c r="L56" s="25" t="s">
        <v>99</v>
      </c>
      <c r="M56" s="25" t="s">
        <v>120</v>
      </c>
      <c r="N56" s="114">
        <v>1.6</v>
      </c>
      <c r="O56" s="114">
        <v>22</v>
      </c>
      <c r="P56" s="116" t="s">
        <v>101</v>
      </c>
      <c r="Q56" s="122"/>
      <c r="R56" s="116" t="s">
        <v>101</v>
      </c>
      <c r="S56" s="116" t="s">
        <v>101</v>
      </c>
      <c r="T56" s="122"/>
      <c r="U56" s="114">
        <v>1.5</v>
      </c>
      <c r="V56" s="116">
        <v>1.1000000000000001</v>
      </c>
      <c r="W56" s="114">
        <v>0.6</v>
      </c>
      <c r="X56" s="116" t="s">
        <v>101</v>
      </c>
      <c r="Y56" s="114">
        <v>4.5</v>
      </c>
      <c r="Z56" s="114">
        <v>3</v>
      </c>
      <c r="AA56" s="116">
        <v>1</v>
      </c>
      <c r="AB56" s="25" t="s">
        <v>101</v>
      </c>
      <c r="AC56" s="25" t="s">
        <v>101</v>
      </c>
      <c r="AD56" s="116" t="s">
        <v>102</v>
      </c>
      <c r="AE56" s="116" t="s">
        <v>110</v>
      </c>
      <c r="AF56" s="22">
        <f t="shared" si="8"/>
        <v>1.875</v>
      </c>
      <c r="AG56" s="15">
        <f t="shared" si="1"/>
        <v>3</v>
      </c>
      <c r="AH56" s="7">
        <f t="shared" si="2"/>
        <v>10</v>
      </c>
      <c r="AI56" s="7">
        <f t="shared" si="3"/>
        <v>10</v>
      </c>
      <c r="AJ56" s="7">
        <f t="shared" si="4"/>
        <v>10</v>
      </c>
      <c r="AK56" s="12">
        <f t="shared" si="5"/>
        <v>6</v>
      </c>
      <c r="AL56" s="14">
        <f t="shared" si="9"/>
        <v>39</v>
      </c>
      <c r="AM56" s="16" t="str">
        <f t="shared" si="7"/>
        <v>Barrier</v>
      </c>
      <c r="AN56" s="125" t="s">
        <v>399</v>
      </c>
      <c r="AO56" s="114">
        <v>10</v>
      </c>
      <c r="AP56" s="25" t="s">
        <v>236</v>
      </c>
    </row>
    <row r="57" spans="1:42" ht="30" x14ac:dyDescent="0.25">
      <c r="A57" s="117">
        <v>44442</v>
      </c>
      <c r="B57" s="76"/>
      <c r="C57" s="25">
        <v>14000690</v>
      </c>
      <c r="D57" s="25" t="s">
        <v>92</v>
      </c>
      <c r="E57" s="77">
        <v>9</v>
      </c>
      <c r="F57" s="78">
        <v>625491.39548376203</v>
      </c>
      <c r="G57" s="79">
        <v>6008365.02844634</v>
      </c>
      <c r="H57" s="77" t="s">
        <v>122</v>
      </c>
      <c r="I57" s="77" t="s">
        <v>173</v>
      </c>
      <c r="J57" s="80">
        <v>19.5</v>
      </c>
      <c r="K57" s="77" t="s">
        <v>375</v>
      </c>
      <c r="L57" s="25" t="s">
        <v>99</v>
      </c>
      <c r="M57" s="25" t="s">
        <v>100</v>
      </c>
      <c r="N57" s="114">
        <v>1</v>
      </c>
      <c r="O57" s="114">
        <v>24</v>
      </c>
      <c r="P57" s="116" t="s">
        <v>101</v>
      </c>
      <c r="Q57" s="122"/>
      <c r="R57" s="116" t="s">
        <v>101</v>
      </c>
      <c r="S57" s="116" t="s">
        <v>101</v>
      </c>
      <c r="T57" s="122"/>
      <c r="U57" s="114">
        <v>1</v>
      </c>
      <c r="V57" s="116">
        <v>0.35</v>
      </c>
      <c r="W57" s="114">
        <v>0.5</v>
      </c>
      <c r="X57" s="116" t="s">
        <v>104</v>
      </c>
      <c r="Y57" s="114">
        <v>4.5</v>
      </c>
      <c r="Z57" s="114">
        <v>2.1</v>
      </c>
      <c r="AA57" s="116">
        <v>6</v>
      </c>
      <c r="AB57" s="25" t="s">
        <v>101</v>
      </c>
      <c r="AC57" s="25" t="s">
        <v>101</v>
      </c>
      <c r="AD57" s="116" t="s">
        <v>102</v>
      </c>
      <c r="AE57" s="116" t="s">
        <v>103</v>
      </c>
      <c r="AF57" s="22">
        <f t="shared" si="8"/>
        <v>2.1</v>
      </c>
      <c r="AG57" s="15">
        <f t="shared" si="1"/>
        <v>3</v>
      </c>
      <c r="AH57" s="7">
        <f t="shared" si="2"/>
        <v>10</v>
      </c>
      <c r="AI57" s="7">
        <f t="shared" si="3"/>
        <v>10</v>
      </c>
      <c r="AJ57" s="7">
        <f t="shared" si="4"/>
        <v>10</v>
      </c>
      <c r="AK57" s="12">
        <f t="shared" si="5"/>
        <v>6</v>
      </c>
      <c r="AL57" s="14">
        <f t="shared" si="9"/>
        <v>39</v>
      </c>
      <c r="AM57" s="16" t="str">
        <f t="shared" si="7"/>
        <v>Barrier</v>
      </c>
      <c r="AN57" s="125" t="s">
        <v>399</v>
      </c>
      <c r="AO57" s="114">
        <v>10</v>
      </c>
      <c r="AP57" s="25" t="s">
        <v>534</v>
      </c>
    </row>
    <row r="58" spans="1:42" ht="30" x14ac:dyDescent="0.25">
      <c r="A58" s="117">
        <v>44442</v>
      </c>
      <c r="B58" s="76"/>
      <c r="C58" s="25">
        <v>14001563</v>
      </c>
      <c r="D58" s="25" t="s">
        <v>92</v>
      </c>
      <c r="E58" s="77">
        <v>9</v>
      </c>
      <c r="F58" s="78">
        <v>630001.20455903898</v>
      </c>
      <c r="G58" s="79">
        <v>6009751.8607862899</v>
      </c>
      <c r="H58" s="77" t="s">
        <v>122</v>
      </c>
      <c r="I58" s="77" t="s">
        <v>121</v>
      </c>
      <c r="J58" s="80"/>
      <c r="K58" s="77" t="s">
        <v>364</v>
      </c>
      <c r="L58" s="25" t="s">
        <v>112</v>
      </c>
      <c r="M58" s="25" t="s">
        <v>113</v>
      </c>
      <c r="N58" s="122"/>
      <c r="O58" s="122"/>
      <c r="P58" s="121"/>
      <c r="Q58" s="122"/>
      <c r="R58" s="121"/>
      <c r="S58" s="121"/>
      <c r="T58" s="122"/>
      <c r="U58" s="122"/>
      <c r="V58" s="121"/>
      <c r="W58" s="122"/>
      <c r="X58" s="121"/>
      <c r="Y58" s="122"/>
      <c r="Z58" s="122"/>
      <c r="AA58" s="121"/>
      <c r="AB58" s="25"/>
      <c r="AC58" s="25"/>
      <c r="AD58" s="121"/>
      <c r="AE58" s="121"/>
      <c r="AF58" s="22">
        <f t="shared" si="8"/>
        <v>0</v>
      </c>
      <c r="AG58" s="15">
        <f t="shared" si="1"/>
        <v>0</v>
      </c>
      <c r="AH58" s="7">
        <f t="shared" si="2"/>
        <v>0</v>
      </c>
      <c r="AI58" s="7">
        <f t="shared" si="3"/>
        <v>0</v>
      </c>
      <c r="AJ58" s="7">
        <f t="shared" si="4"/>
        <v>0</v>
      </c>
      <c r="AK58" s="12">
        <f t="shared" si="5"/>
        <v>0</v>
      </c>
      <c r="AL58" s="14">
        <f t="shared" si="9"/>
        <v>0</v>
      </c>
      <c r="AM58" s="16" t="str">
        <f t="shared" si="7"/>
        <v>Unknown</v>
      </c>
      <c r="AN58" s="116"/>
      <c r="AO58" s="114"/>
      <c r="AP58" s="25" t="s">
        <v>237</v>
      </c>
    </row>
    <row r="59" spans="1:42" ht="30" x14ac:dyDescent="0.25">
      <c r="A59" s="117">
        <v>44442</v>
      </c>
      <c r="B59" s="76"/>
      <c r="C59" s="25">
        <v>14000696</v>
      </c>
      <c r="D59" s="25" t="s">
        <v>92</v>
      </c>
      <c r="E59" s="77">
        <v>9</v>
      </c>
      <c r="F59" s="78">
        <v>630596.41920859704</v>
      </c>
      <c r="G59" s="79">
        <v>6010649.8592776395</v>
      </c>
      <c r="H59" s="77" t="s">
        <v>122</v>
      </c>
      <c r="I59" s="77" t="s">
        <v>173</v>
      </c>
      <c r="J59" s="80"/>
      <c r="K59" s="77" t="s">
        <v>375</v>
      </c>
      <c r="L59" s="25" t="s">
        <v>99</v>
      </c>
      <c r="M59" s="25" t="s">
        <v>100</v>
      </c>
      <c r="N59" s="114">
        <v>1.25</v>
      </c>
      <c r="O59" s="114">
        <v>30</v>
      </c>
      <c r="P59" s="116" t="s">
        <v>101</v>
      </c>
      <c r="Q59" s="122"/>
      <c r="R59" s="116" t="s">
        <v>101</v>
      </c>
      <c r="S59" s="116" t="s">
        <v>104</v>
      </c>
      <c r="T59" s="114">
        <v>25</v>
      </c>
      <c r="U59" s="114">
        <v>3</v>
      </c>
      <c r="V59" s="116">
        <v>0</v>
      </c>
      <c r="W59" s="114">
        <v>0.6</v>
      </c>
      <c r="X59" s="116" t="s">
        <v>101</v>
      </c>
      <c r="Y59" s="114">
        <v>0.5</v>
      </c>
      <c r="Z59" s="114">
        <v>1.7</v>
      </c>
      <c r="AA59" s="116">
        <v>3</v>
      </c>
      <c r="AB59" s="25" t="s">
        <v>101</v>
      </c>
      <c r="AC59" s="25" t="s">
        <v>101</v>
      </c>
      <c r="AD59" s="116" t="s">
        <v>102</v>
      </c>
      <c r="AE59" s="116" t="s">
        <v>110</v>
      </c>
      <c r="AF59" s="22">
        <f t="shared" si="8"/>
        <v>1.3599999999999999</v>
      </c>
      <c r="AG59" s="15">
        <f t="shared" si="1"/>
        <v>6</v>
      </c>
      <c r="AH59" s="7">
        <f t="shared" si="2"/>
        <v>10</v>
      </c>
      <c r="AI59" s="7">
        <f t="shared" si="3"/>
        <v>0</v>
      </c>
      <c r="AJ59" s="7">
        <f t="shared" si="4"/>
        <v>0</v>
      </c>
      <c r="AK59" s="12">
        <f t="shared" si="5"/>
        <v>6</v>
      </c>
      <c r="AL59" s="14">
        <f t="shared" si="9"/>
        <v>22</v>
      </c>
      <c r="AM59" s="16" t="str">
        <f t="shared" si="7"/>
        <v>Barrier</v>
      </c>
      <c r="AN59" s="125" t="s">
        <v>399</v>
      </c>
      <c r="AO59" s="114">
        <v>10</v>
      </c>
      <c r="AP59" s="25" t="s">
        <v>238</v>
      </c>
    </row>
    <row r="60" spans="1:42" x14ac:dyDescent="0.25">
      <c r="A60" s="117">
        <v>44443</v>
      </c>
      <c r="B60" s="76"/>
      <c r="C60" s="25">
        <v>1800422</v>
      </c>
      <c r="D60" s="25" t="s">
        <v>92</v>
      </c>
      <c r="E60" s="77">
        <v>9</v>
      </c>
      <c r="F60" s="78">
        <v>679525.36521086795</v>
      </c>
      <c r="G60" s="79">
        <v>6039648.9788458701</v>
      </c>
      <c r="H60" s="77" t="s">
        <v>239</v>
      </c>
      <c r="I60" s="77" t="s">
        <v>129</v>
      </c>
      <c r="J60" s="80"/>
      <c r="K60" s="77" t="s">
        <v>362</v>
      </c>
      <c r="L60" s="25" t="s">
        <v>112</v>
      </c>
      <c r="M60" s="25" t="s">
        <v>113</v>
      </c>
      <c r="N60" s="122"/>
      <c r="O60" s="122"/>
      <c r="P60" s="121"/>
      <c r="Q60" s="122"/>
      <c r="R60" s="121"/>
      <c r="S60" s="121"/>
      <c r="T60" s="122"/>
      <c r="U60" s="122"/>
      <c r="V60" s="121"/>
      <c r="W60" s="122"/>
      <c r="X60" s="121"/>
      <c r="Y60" s="122"/>
      <c r="Z60" s="122"/>
      <c r="AA60" s="121"/>
      <c r="AB60" s="25"/>
      <c r="AC60" s="25"/>
      <c r="AD60" s="121"/>
      <c r="AE60" s="121"/>
      <c r="AF60" s="22">
        <f t="shared" si="8"/>
        <v>0</v>
      </c>
      <c r="AG60" s="15">
        <f t="shared" si="1"/>
        <v>0</v>
      </c>
      <c r="AH60" s="7">
        <f t="shared" si="2"/>
        <v>0</v>
      </c>
      <c r="AI60" s="7">
        <f t="shared" si="3"/>
        <v>0</v>
      </c>
      <c r="AJ60" s="7">
        <f t="shared" si="4"/>
        <v>0</v>
      </c>
      <c r="AK60" s="12">
        <f t="shared" si="5"/>
        <v>0</v>
      </c>
      <c r="AL60" s="14">
        <f t="shared" si="9"/>
        <v>0</v>
      </c>
      <c r="AM60" s="16" t="str">
        <f t="shared" si="7"/>
        <v>Unknown</v>
      </c>
      <c r="AN60" s="116"/>
      <c r="AO60" s="114"/>
      <c r="AP60" s="25" t="s">
        <v>240</v>
      </c>
    </row>
    <row r="61" spans="1:42" ht="30" x14ac:dyDescent="0.25">
      <c r="A61" s="83">
        <v>44444</v>
      </c>
      <c r="C61" s="10">
        <v>1801133</v>
      </c>
      <c r="D61" s="25" t="s">
        <v>92</v>
      </c>
      <c r="E61" s="77">
        <v>9</v>
      </c>
      <c r="F61" s="78">
        <v>674339.06640061399</v>
      </c>
      <c r="G61" s="79">
        <v>6039594.9908870999</v>
      </c>
      <c r="H61" s="77" t="s">
        <v>107</v>
      </c>
      <c r="I61" s="77" t="s">
        <v>121</v>
      </c>
      <c r="J61" s="80"/>
      <c r="K61" s="77" t="s">
        <v>362</v>
      </c>
      <c r="L61" s="25" t="s">
        <v>112</v>
      </c>
      <c r="M61" s="25" t="s">
        <v>113</v>
      </c>
      <c r="N61" s="122"/>
      <c r="O61" s="122"/>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Unknown</v>
      </c>
      <c r="AN61" s="116"/>
      <c r="AO61" s="114"/>
      <c r="AP61" s="25" t="s">
        <v>241</v>
      </c>
    </row>
    <row r="62" spans="1:42" ht="30" x14ac:dyDescent="0.25">
      <c r="A62" s="117">
        <v>44444</v>
      </c>
      <c r="B62" s="76"/>
      <c r="C62" s="25">
        <v>1801969</v>
      </c>
      <c r="D62" s="25" t="s">
        <v>92</v>
      </c>
      <c r="E62" s="77">
        <v>9</v>
      </c>
      <c r="F62" s="78">
        <v>673797</v>
      </c>
      <c r="G62" s="79">
        <v>6038906</v>
      </c>
      <c r="H62" s="77" t="s">
        <v>242</v>
      </c>
      <c r="I62" s="77" t="s">
        <v>121</v>
      </c>
      <c r="J62" s="80"/>
      <c r="K62" s="77" t="s">
        <v>362</v>
      </c>
      <c r="L62" s="25" t="s">
        <v>95</v>
      </c>
      <c r="M62" s="25" t="s">
        <v>96</v>
      </c>
      <c r="N62" s="114">
        <v>7</v>
      </c>
      <c r="O62" s="114">
        <v>4</v>
      </c>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Passable</v>
      </c>
      <c r="AN62" s="126"/>
      <c r="AO62" s="127"/>
      <c r="AP62" s="25" t="s">
        <v>403</v>
      </c>
    </row>
    <row r="63" spans="1:42" ht="45" x14ac:dyDescent="0.25">
      <c r="A63" s="117">
        <v>44444</v>
      </c>
      <c r="B63" s="76"/>
      <c r="C63" s="25">
        <v>1803828</v>
      </c>
      <c r="D63" s="25" t="s">
        <v>92</v>
      </c>
      <c r="E63" s="77">
        <v>9</v>
      </c>
      <c r="F63" s="78">
        <v>674549</v>
      </c>
      <c r="G63" s="79">
        <v>6038014</v>
      </c>
      <c r="H63" s="77" t="s">
        <v>107</v>
      </c>
      <c r="I63" s="77" t="s">
        <v>121</v>
      </c>
      <c r="J63" s="80"/>
      <c r="K63" s="77" t="s">
        <v>377</v>
      </c>
      <c r="L63" s="25" t="s">
        <v>95</v>
      </c>
      <c r="M63" s="25" t="s">
        <v>96</v>
      </c>
      <c r="N63" s="114">
        <v>15</v>
      </c>
      <c r="O63" s="114">
        <v>5</v>
      </c>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Passable</v>
      </c>
      <c r="AN63" s="126"/>
      <c r="AO63" s="127"/>
      <c r="AP63" s="25" t="s">
        <v>404</v>
      </c>
    </row>
    <row r="64" spans="1:42" ht="45" x14ac:dyDescent="0.25">
      <c r="A64" s="117">
        <v>44444</v>
      </c>
      <c r="B64" s="76"/>
      <c r="C64" s="25">
        <v>1804238</v>
      </c>
      <c r="D64" s="25" t="s">
        <v>92</v>
      </c>
      <c r="E64" s="77">
        <v>9</v>
      </c>
      <c r="F64" s="78">
        <v>675156.00618983502</v>
      </c>
      <c r="G64" s="79">
        <v>6039878.01479524</v>
      </c>
      <c r="H64" s="77" t="s">
        <v>107</v>
      </c>
      <c r="I64" s="77" t="s">
        <v>121</v>
      </c>
      <c r="J64" s="80"/>
      <c r="K64" s="77" t="s">
        <v>377</v>
      </c>
      <c r="L64" s="25" t="s">
        <v>95</v>
      </c>
      <c r="M64" s="25" t="s">
        <v>96</v>
      </c>
      <c r="N64" s="114">
        <v>19</v>
      </c>
      <c r="O64" s="114">
        <v>4</v>
      </c>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Passable</v>
      </c>
      <c r="AN64" s="126"/>
      <c r="AO64" s="127"/>
      <c r="AP64" s="25" t="s">
        <v>243</v>
      </c>
    </row>
    <row r="65" spans="1:42" x14ac:dyDescent="0.25">
      <c r="A65" s="117">
        <v>44452</v>
      </c>
      <c r="B65" s="76"/>
      <c r="C65" s="25">
        <v>24704566</v>
      </c>
      <c r="D65" s="25" t="s">
        <v>97</v>
      </c>
      <c r="E65" s="77">
        <v>9</v>
      </c>
      <c r="F65" s="78">
        <v>605785.55893804296</v>
      </c>
      <c r="G65" s="79">
        <v>6099883.8271172596</v>
      </c>
      <c r="H65" s="77" t="s">
        <v>244</v>
      </c>
      <c r="I65" s="77" t="s">
        <v>246</v>
      </c>
      <c r="J65" s="80"/>
      <c r="K65" s="77" t="s">
        <v>366</v>
      </c>
      <c r="L65" s="25" t="s">
        <v>99</v>
      </c>
      <c r="M65" s="25" t="s">
        <v>100</v>
      </c>
      <c r="N65" s="114">
        <v>3.4</v>
      </c>
      <c r="O65" s="114">
        <v>24</v>
      </c>
      <c r="P65" s="116" t="s">
        <v>101</v>
      </c>
      <c r="Q65" s="122"/>
      <c r="R65" s="116" t="s">
        <v>101</v>
      </c>
      <c r="S65" s="116" t="s">
        <v>101</v>
      </c>
      <c r="T65" s="122"/>
      <c r="U65" s="114">
        <v>1.5</v>
      </c>
      <c r="V65" s="116">
        <v>0.65</v>
      </c>
      <c r="W65" s="114">
        <v>3</v>
      </c>
      <c r="X65" s="116" t="s">
        <v>101</v>
      </c>
      <c r="Y65" s="114">
        <v>2.5</v>
      </c>
      <c r="Z65" s="114">
        <v>18</v>
      </c>
      <c r="AA65" s="116">
        <v>2.8</v>
      </c>
      <c r="AB65" s="25" t="s">
        <v>104</v>
      </c>
      <c r="AC65" s="25" t="s">
        <v>101</v>
      </c>
      <c r="AD65" s="116" t="s">
        <v>102</v>
      </c>
      <c r="AE65" s="116" t="s">
        <v>139</v>
      </c>
      <c r="AF65" s="22">
        <f t="shared" si="8"/>
        <v>5.2941176470588234</v>
      </c>
      <c r="AG65" s="15">
        <f t="shared" si="1"/>
        <v>3</v>
      </c>
      <c r="AH65" s="7">
        <f t="shared" si="2"/>
        <v>10</v>
      </c>
      <c r="AI65" s="7">
        <f t="shared" si="3"/>
        <v>10</v>
      </c>
      <c r="AJ65" s="7">
        <f t="shared" si="4"/>
        <v>5</v>
      </c>
      <c r="AK65" s="12">
        <f t="shared" si="5"/>
        <v>6</v>
      </c>
      <c r="AL65" s="14">
        <f t="shared" si="9"/>
        <v>34</v>
      </c>
      <c r="AM65" s="16" t="str">
        <f t="shared" si="7"/>
        <v>Barrier</v>
      </c>
      <c r="AN65" s="125" t="s">
        <v>398</v>
      </c>
      <c r="AO65" s="114">
        <v>3</v>
      </c>
      <c r="AP65" s="25" t="s">
        <v>245</v>
      </c>
    </row>
    <row r="66" spans="1:42" ht="30" x14ac:dyDescent="0.25">
      <c r="A66" s="117">
        <v>44454</v>
      </c>
      <c r="B66" s="76"/>
      <c r="C66" s="25">
        <v>1805496</v>
      </c>
      <c r="D66" s="25" t="s">
        <v>203</v>
      </c>
      <c r="E66" s="77">
        <v>9</v>
      </c>
      <c r="F66" s="78">
        <v>609393</v>
      </c>
      <c r="G66" s="79">
        <v>6087111</v>
      </c>
      <c r="H66" s="77" t="s">
        <v>325</v>
      </c>
      <c r="I66" s="77" t="s">
        <v>94</v>
      </c>
      <c r="J66" s="80"/>
      <c r="K66" s="77" t="s">
        <v>361</v>
      </c>
      <c r="L66" s="25" t="s">
        <v>95</v>
      </c>
      <c r="M66" s="25" t="s">
        <v>96</v>
      </c>
      <c r="N66" s="114">
        <v>12</v>
      </c>
      <c r="O66" s="114">
        <v>5</v>
      </c>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Passable</v>
      </c>
      <c r="AN66" s="126"/>
      <c r="AO66" s="127"/>
      <c r="AP66" s="25" t="s">
        <v>204</v>
      </c>
    </row>
    <row r="67" spans="1:42" ht="30" x14ac:dyDescent="0.25">
      <c r="A67" s="117">
        <v>44446</v>
      </c>
      <c r="B67" s="76"/>
      <c r="C67" s="25">
        <v>14000798</v>
      </c>
      <c r="D67" s="25" t="s">
        <v>170</v>
      </c>
      <c r="E67" s="77">
        <v>9</v>
      </c>
      <c r="F67" s="78">
        <v>643460.29364100995</v>
      </c>
      <c r="G67" s="79">
        <v>6025889.5422638701</v>
      </c>
      <c r="H67" s="77" t="s">
        <v>171</v>
      </c>
      <c r="I67" s="77" t="s">
        <v>167</v>
      </c>
      <c r="J67" s="80">
        <v>7.4</v>
      </c>
      <c r="K67" s="77" t="s">
        <v>378</v>
      </c>
      <c r="L67" s="25" t="s">
        <v>99</v>
      </c>
      <c r="M67" s="25" t="s">
        <v>120</v>
      </c>
      <c r="N67" s="114">
        <v>3.6</v>
      </c>
      <c r="O67" s="114">
        <v>15</v>
      </c>
      <c r="P67" s="116" t="s">
        <v>101</v>
      </c>
      <c r="Q67" s="122"/>
      <c r="R67" s="116" t="s">
        <v>101</v>
      </c>
      <c r="S67" s="116" t="s">
        <v>101</v>
      </c>
      <c r="T67" s="122"/>
      <c r="U67" s="114">
        <v>3.5</v>
      </c>
      <c r="V67" s="116">
        <v>1.2</v>
      </c>
      <c r="W67" s="114">
        <v>0</v>
      </c>
      <c r="X67" s="116" t="s">
        <v>101</v>
      </c>
      <c r="Y67" s="114">
        <v>3.5</v>
      </c>
      <c r="Z67" s="114">
        <v>9.3000000000000007</v>
      </c>
      <c r="AA67" s="116">
        <v>4</v>
      </c>
      <c r="AB67" s="25" t="s">
        <v>101</v>
      </c>
      <c r="AC67" s="25" t="s">
        <v>101</v>
      </c>
      <c r="AD67" s="116" t="s">
        <v>102</v>
      </c>
      <c r="AE67" s="116" t="s">
        <v>139</v>
      </c>
      <c r="AF67" s="22">
        <f t="shared" si="8"/>
        <v>2.5833333333333335</v>
      </c>
      <c r="AG67" s="15">
        <f t="shared" si="1"/>
        <v>3</v>
      </c>
      <c r="AH67" s="7">
        <f t="shared" si="2"/>
        <v>10</v>
      </c>
      <c r="AI67" s="7">
        <f t="shared" si="3"/>
        <v>10</v>
      </c>
      <c r="AJ67" s="7">
        <f t="shared" si="4"/>
        <v>10</v>
      </c>
      <c r="AK67" s="12">
        <f t="shared" si="5"/>
        <v>6</v>
      </c>
      <c r="AL67" s="14">
        <f t="shared" si="9"/>
        <v>39</v>
      </c>
      <c r="AM67" s="16" t="str">
        <f t="shared" si="7"/>
        <v>Barrier</v>
      </c>
      <c r="AN67" s="125" t="s">
        <v>399</v>
      </c>
      <c r="AO67" s="114">
        <v>15.8</v>
      </c>
      <c r="AP67" s="25" t="s">
        <v>356</v>
      </c>
    </row>
    <row r="68" spans="1:42" ht="30" x14ac:dyDescent="0.25">
      <c r="A68" s="117">
        <v>44439</v>
      </c>
      <c r="B68" s="76"/>
      <c r="C68" s="25">
        <v>1805531</v>
      </c>
      <c r="D68" s="25" t="s">
        <v>125</v>
      </c>
      <c r="E68" s="77">
        <v>9</v>
      </c>
      <c r="F68" s="78">
        <v>690763.80725407798</v>
      </c>
      <c r="G68" s="79">
        <v>6031192.3329179203</v>
      </c>
      <c r="H68" s="77" t="s">
        <v>107</v>
      </c>
      <c r="I68" s="77" t="s">
        <v>246</v>
      </c>
      <c r="J68" s="80"/>
      <c r="K68" s="77" t="s">
        <v>361</v>
      </c>
      <c r="L68" s="25" t="s">
        <v>99</v>
      </c>
      <c r="M68" s="25" t="s">
        <v>100</v>
      </c>
      <c r="N68" s="114">
        <v>1.2</v>
      </c>
      <c r="O68" s="114">
        <v>19</v>
      </c>
      <c r="P68" s="116" t="s">
        <v>101</v>
      </c>
      <c r="Q68" s="122"/>
      <c r="R68" s="116" t="s">
        <v>101</v>
      </c>
      <c r="S68" s="116" t="s">
        <v>101</v>
      </c>
      <c r="T68" s="122"/>
      <c r="U68" s="114">
        <v>1</v>
      </c>
      <c r="V68" s="116">
        <v>0.4</v>
      </c>
      <c r="W68" s="114">
        <v>0.35</v>
      </c>
      <c r="X68" s="116" t="s">
        <v>104</v>
      </c>
      <c r="Y68" s="114">
        <v>2</v>
      </c>
      <c r="Z68" s="114">
        <v>4</v>
      </c>
      <c r="AA68" s="116">
        <v>0</v>
      </c>
      <c r="AB68" s="25" t="s">
        <v>104</v>
      </c>
      <c r="AC68" s="25" t="s">
        <v>101</v>
      </c>
      <c r="AD68" s="116" t="s">
        <v>102</v>
      </c>
      <c r="AE68" s="116" t="s">
        <v>103</v>
      </c>
      <c r="AF68" s="22">
        <f t="shared" si="8"/>
        <v>3.3333333333333335</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5</v>
      </c>
      <c r="AK68" s="12">
        <f t="shared" ref="AK68:AK131" si="14">IF(AF68&lt;1,0,IF(AND(AF68&gt;=1,AF68&lt;1.3),3,IF(AF68&gt;=1.3,6,0)))</f>
        <v>6</v>
      </c>
      <c r="AL68" s="14">
        <f t="shared" si="9"/>
        <v>34</v>
      </c>
      <c r="AM68" s="16" t="str">
        <f t="shared" ref="AM68:AM131" si="15">IF(ISBLANK(L68), "", IF(L68 = "Open Bottom Structure", "Passable", IF(L68 = "Other", "Unknown", IF(AL68 &lt; 15, "Passable", IF(AND(AL68 &gt;= 15,AL68 &lt;= 19), "Potential", IF(AL68 &gt; 19, "Barrier", ""))))))</f>
        <v>Barrier</v>
      </c>
      <c r="AN68" s="125" t="s">
        <v>399</v>
      </c>
      <c r="AO68" s="114">
        <v>10</v>
      </c>
      <c r="AP68" s="25" t="s">
        <v>247</v>
      </c>
    </row>
    <row r="69" spans="1:42" ht="30" x14ac:dyDescent="0.25">
      <c r="A69" s="117">
        <v>44439</v>
      </c>
      <c r="B69" s="76"/>
      <c r="C69" s="25">
        <v>1805529</v>
      </c>
      <c r="D69" s="116" t="s">
        <v>125</v>
      </c>
      <c r="E69" s="77">
        <v>9</v>
      </c>
      <c r="F69" s="78">
        <v>691218.30854211596</v>
      </c>
      <c r="G69" s="79">
        <v>6031478.40581406</v>
      </c>
      <c r="H69" s="77" t="s">
        <v>248</v>
      </c>
      <c r="I69" s="77" t="s">
        <v>246</v>
      </c>
      <c r="J69" s="80"/>
      <c r="K69" s="77" t="s">
        <v>361</v>
      </c>
      <c r="L69" s="25" t="s">
        <v>99</v>
      </c>
      <c r="M69" s="25" t="s">
        <v>100</v>
      </c>
      <c r="N69" s="114">
        <v>1.5</v>
      </c>
      <c r="O69" s="114">
        <v>21</v>
      </c>
      <c r="P69" s="116" t="s">
        <v>101</v>
      </c>
      <c r="Q69" s="122"/>
      <c r="R69" s="116" t="s">
        <v>101</v>
      </c>
      <c r="S69" s="116" t="s">
        <v>104</v>
      </c>
      <c r="T69" s="114">
        <v>100</v>
      </c>
      <c r="U69" s="114">
        <v>3</v>
      </c>
      <c r="V69" s="116">
        <v>0</v>
      </c>
      <c r="W69" s="114">
        <v>0.8</v>
      </c>
      <c r="X69" s="116" t="s">
        <v>101</v>
      </c>
      <c r="Y69" s="114">
        <v>0.71</v>
      </c>
      <c r="Z69" s="114">
        <v>9</v>
      </c>
      <c r="AA69" s="116">
        <v>0</v>
      </c>
      <c r="AB69" s="25" t="s">
        <v>101</v>
      </c>
      <c r="AC69" s="25" t="s">
        <v>104</v>
      </c>
      <c r="AD69" s="116" t="s">
        <v>102</v>
      </c>
      <c r="AE69" s="116" t="s">
        <v>139</v>
      </c>
      <c r="AF69" s="22">
        <f t="shared" si="8"/>
        <v>6</v>
      </c>
      <c r="AG69" s="15">
        <f t="shared" si="10"/>
        <v>3</v>
      </c>
      <c r="AH69" s="7">
        <f t="shared" si="11"/>
        <v>10</v>
      </c>
      <c r="AI69" s="7">
        <f t="shared" si="12"/>
        <v>0</v>
      </c>
      <c r="AJ69" s="7">
        <f t="shared" si="13"/>
        <v>0</v>
      </c>
      <c r="AK69" s="12">
        <f t="shared" si="14"/>
        <v>6</v>
      </c>
      <c r="AL69" s="14">
        <f t="shared" si="9"/>
        <v>19</v>
      </c>
      <c r="AM69" s="16" t="str">
        <f t="shared" si="15"/>
        <v>Potential</v>
      </c>
      <c r="AN69" s="125" t="s">
        <v>399</v>
      </c>
      <c r="AO69" s="114">
        <v>14</v>
      </c>
      <c r="AP69" s="25" t="s">
        <v>249</v>
      </c>
    </row>
    <row r="70" spans="1:42" ht="30" x14ac:dyDescent="0.25">
      <c r="A70" s="117">
        <v>44439</v>
      </c>
      <c r="B70" s="76"/>
      <c r="C70" s="25">
        <v>2021083150</v>
      </c>
      <c r="D70" s="116" t="s">
        <v>125</v>
      </c>
      <c r="E70" s="77">
        <v>9</v>
      </c>
      <c r="F70" s="78">
        <v>691168.99</v>
      </c>
      <c r="G70" s="79">
        <v>6031457.7999999998</v>
      </c>
      <c r="H70" s="77" t="s">
        <v>250</v>
      </c>
      <c r="I70" s="77" t="s">
        <v>246</v>
      </c>
      <c r="J70" s="80"/>
      <c r="K70" s="77" t="s">
        <v>361</v>
      </c>
      <c r="L70" s="25" t="s">
        <v>99</v>
      </c>
      <c r="M70" s="25" t="s">
        <v>100</v>
      </c>
      <c r="N70" s="114">
        <v>0.9</v>
      </c>
      <c r="O70" s="114">
        <v>22</v>
      </c>
      <c r="P70" s="125" t="s">
        <v>101</v>
      </c>
      <c r="Q70" s="114"/>
      <c r="R70" s="125" t="s">
        <v>101</v>
      </c>
      <c r="S70" s="125" t="s">
        <v>104</v>
      </c>
      <c r="T70" s="114">
        <v>100</v>
      </c>
      <c r="U70" s="114">
        <v>3</v>
      </c>
      <c r="V70" s="125">
        <v>0</v>
      </c>
      <c r="W70" s="114">
        <v>0.85</v>
      </c>
      <c r="X70" s="125" t="s">
        <v>101</v>
      </c>
      <c r="Y70" s="114">
        <v>0.23</v>
      </c>
      <c r="Z70" s="114">
        <v>3</v>
      </c>
      <c r="AA70" s="125">
        <v>0</v>
      </c>
      <c r="AB70" s="25" t="s">
        <v>104</v>
      </c>
      <c r="AC70" s="25" t="s">
        <v>101</v>
      </c>
      <c r="AD70" s="125" t="s">
        <v>102</v>
      </c>
      <c r="AE70" s="125" t="s">
        <v>110</v>
      </c>
      <c r="AF70" s="22">
        <f t="shared" si="8"/>
        <v>3.333333333333333</v>
      </c>
      <c r="AG70" s="15">
        <f t="shared" si="10"/>
        <v>3</v>
      </c>
      <c r="AH70" s="7">
        <f t="shared" si="11"/>
        <v>10</v>
      </c>
      <c r="AI70" s="7">
        <f t="shared" si="12"/>
        <v>0</v>
      </c>
      <c r="AJ70" s="7">
        <f t="shared" si="13"/>
        <v>0</v>
      </c>
      <c r="AK70" s="12">
        <f t="shared" si="14"/>
        <v>6</v>
      </c>
      <c r="AL70" s="14">
        <f t="shared" si="9"/>
        <v>19</v>
      </c>
      <c r="AM70" s="16" t="str">
        <f t="shared" si="15"/>
        <v>Potential</v>
      </c>
      <c r="AN70" s="125" t="s">
        <v>398</v>
      </c>
      <c r="AO70" s="114">
        <v>3</v>
      </c>
      <c r="AP70" s="25" t="s">
        <v>251</v>
      </c>
    </row>
    <row r="71" spans="1:42" ht="30" x14ac:dyDescent="0.25">
      <c r="A71" s="117">
        <v>44439</v>
      </c>
      <c r="B71" s="76"/>
      <c r="C71" s="25">
        <v>1800049</v>
      </c>
      <c r="D71" s="116" t="s">
        <v>125</v>
      </c>
      <c r="E71" s="77">
        <v>9</v>
      </c>
      <c r="F71" s="78">
        <v>692281.22101036296</v>
      </c>
      <c r="G71" s="79">
        <v>6032071.8177236198</v>
      </c>
      <c r="H71" s="77" t="s">
        <v>248</v>
      </c>
      <c r="I71" s="77" t="s">
        <v>106</v>
      </c>
      <c r="J71" s="80"/>
      <c r="K71" s="77" t="s">
        <v>363</v>
      </c>
      <c r="L71" s="25" t="s">
        <v>95</v>
      </c>
      <c r="M71" s="25" t="s">
        <v>96</v>
      </c>
      <c r="N71" s="114">
        <v>12</v>
      </c>
      <c r="O71" s="114">
        <v>9</v>
      </c>
      <c r="P71" s="121"/>
      <c r="Q71" s="122"/>
      <c r="R71" s="121"/>
      <c r="S71" s="121"/>
      <c r="T71" s="122"/>
      <c r="U71" s="122"/>
      <c r="V71" s="121"/>
      <c r="W71" s="122"/>
      <c r="X71" s="121"/>
      <c r="Y71" s="122"/>
      <c r="Z71" s="122"/>
      <c r="AA71" s="121"/>
      <c r="AB71" s="25"/>
      <c r="AC71" s="25"/>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Passable</v>
      </c>
      <c r="AN71" s="126"/>
      <c r="AO71" s="127"/>
      <c r="AP71" s="25" t="s">
        <v>252</v>
      </c>
    </row>
    <row r="72" spans="1:42" x14ac:dyDescent="0.25">
      <c r="A72" s="117">
        <v>44439</v>
      </c>
      <c r="B72" s="76"/>
      <c r="C72" s="25">
        <v>1800050</v>
      </c>
      <c r="D72" s="116" t="s">
        <v>125</v>
      </c>
      <c r="E72" s="77">
        <v>9</v>
      </c>
      <c r="F72" s="78">
        <v>692434.60075294902</v>
      </c>
      <c r="G72" s="79">
        <v>6032330.5097483601</v>
      </c>
      <c r="H72" s="77" t="s">
        <v>140</v>
      </c>
      <c r="I72" s="77" t="s">
        <v>141</v>
      </c>
      <c r="J72" s="80"/>
      <c r="K72" s="77" t="s">
        <v>379</v>
      </c>
      <c r="L72" s="25" t="s">
        <v>99</v>
      </c>
      <c r="M72" s="25" t="s">
        <v>100</v>
      </c>
      <c r="N72" s="114">
        <v>3</v>
      </c>
      <c r="O72" s="114">
        <v>30</v>
      </c>
      <c r="P72" s="116" t="s">
        <v>101</v>
      </c>
      <c r="Q72" s="122"/>
      <c r="R72" s="116" t="s">
        <v>101</v>
      </c>
      <c r="S72" s="116" t="s">
        <v>101</v>
      </c>
      <c r="T72" s="122"/>
      <c r="U72" s="114">
        <v>9.99</v>
      </c>
      <c r="V72" s="116">
        <v>0</v>
      </c>
      <c r="W72" s="114">
        <v>0.4</v>
      </c>
      <c r="X72" s="116" t="s">
        <v>104</v>
      </c>
      <c r="Y72" s="114">
        <v>2.5</v>
      </c>
      <c r="Z72" s="114">
        <v>5.3</v>
      </c>
      <c r="AA72" s="116">
        <v>1.7</v>
      </c>
      <c r="AB72" s="25" t="s">
        <v>104</v>
      </c>
      <c r="AC72" s="25" t="s">
        <v>101</v>
      </c>
      <c r="AD72" s="116" t="s">
        <v>102</v>
      </c>
      <c r="AE72" s="116" t="s">
        <v>110</v>
      </c>
      <c r="AF72" s="22">
        <f t="shared" si="8"/>
        <v>1.7666666666666666</v>
      </c>
      <c r="AG72" s="15">
        <f t="shared" si="10"/>
        <v>6</v>
      </c>
      <c r="AH72" s="7">
        <f t="shared" si="11"/>
        <v>10</v>
      </c>
      <c r="AI72" s="7">
        <f t="shared" si="12"/>
        <v>0</v>
      </c>
      <c r="AJ72" s="7">
        <f t="shared" si="13"/>
        <v>5</v>
      </c>
      <c r="AK72" s="12">
        <f t="shared" si="14"/>
        <v>6</v>
      </c>
      <c r="AL72" s="14">
        <f t="shared" si="16"/>
        <v>27</v>
      </c>
      <c r="AM72" s="16" t="str">
        <f t="shared" si="15"/>
        <v>Barrier</v>
      </c>
      <c r="AN72" s="125" t="s">
        <v>399</v>
      </c>
      <c r="AO72" s="114">
        <v>31</v>
      </c>
      <c r="AP72" s="25" t="s">
        <v>253</v>
      </c>
    </row>
    <row r="73" spans="1:42" x14ac:dyDescent="0.25">
      <c r="A73" s="117">
        <v>44439</v>
      </c>
      <c r="B73" s="76"/>
      <c r="C73" s="25">
        <v>1801117</v>
      </c>
      <c r="D73" s="25" t="s">
        <v>170</v>
      </c>
      <c r="E73" s="77">
        <v>9</v>
      </c>
      <c r="F73" s="78">
        <v>690733.005845065</v>
      </c>
      <c r="G73" s="79">
        <v>6032353.0778411198</v>
      </c>
      <c r="H73" s="77" t="s">
        <v>248</v>
      </c>
      <c r="I73" s="77" t="s">
        <v>121</v>
      </c>
      <c r="J73" s="80"/>
      <c r="K73" s="77" t="s">
        <v>362</v>
      </c>
      <c r="L73" s="25" t="s">
        <v>95</v>
      </c>
      <c r="M73" s="25" t="s">
        <v>96</v>
      </c>
      <c r="N73" s="114">
        <v>11</v>
      </c>
      <c r="O73" s="114">
        <v>4</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6"/>
      <c r="AO73" s="127"/>
      <c r="AP73" s="25" t="s">
        <v>254</v>
      </c>
    </row>
    <row r="74" spans="1:42" x14ac:dyDescent="0.25">
      <c r="A74" s="117">
        <v>44439</v>
      </c>
      <c r="B74" s="76"/>
      <c r="C74" s="25">
        <v>1800583</v>
      </c>
      <c r="D74" s="116" t="s">
        <v>170</v>
      </c>
      <c r="E74" s="77">
        <v>9</v>
      </c>
      <c r="F74" s="78">
        <v>689261.99955990503</v>
      </c>
      <c r="G74" s="79">
        <v>6033534.9500874998</v>
      </c>
      <c r="H74" s="77" t="s">
        <v>248</v>
      </c>
      <c r="I74" s="77" t="s">
        <v>255</v>
      </c>
      <c r="J74" s="80"/>
      <c r="K74" s="77" t="s">
        <v>362</v>
      </c>
      <c r="L74" s="25" t="s">
        <v>95</v>
      </c>
      <c r="M74" s="25" t="s">
        <v>96</v>
      </c>
      <c r="N74" s="114">
        <v>10</v>
      </c>
      <c r="O74" s="114">
        <v>4</v>
      </c>
      <c r="P74" s="121"/>
      <c r="Q74" s="122"/>
      <c r="R74" s="121"/>
      <c r="S74" s="121"/>
      <c r="T74" s="122"/>
      <c r="U74" s="122"/>
      <c r="V74" s="121"/>
      <c r="W74" s="122"/>
      <c r="X74" s="121"/>
      <c r="Y74" s="122"/>
      <c r="Z74" s="122"/>
      <c r="AA74" s="121"/>
      <c r="AB74" s="25"/>
      <c r="AC74" s="25"/>
      <c r="AD74" s="121"/>
      <c r="AE74" s="121"/>
      <c r="AF74" s="22">
        <f t="shared" si="17"/>
        <v>0</v>
      </c>
      <c r="AG74" s="15">
        <f t="shared" si="10"/>
        <v>0</v>
      </c>
      <c r="AH74" s="7">
        <f t="shared" si="11"/>
        <v>0</v>
      </c>
      <c r="AI74" s="7">
        <f t="shared" si="12"/>
        <v>0</v>
      </c>
      <c r="AJ74" s="7">
        <f t="shared" si="13"/>
        <v>0</v>
      </c>
      <c r="AK74" s="12">
        <f t="shared" si="14"/>
        <v>0</v>
      </c>
      <c r="AL74" s="14">
        <f t="shared" si="16"/>
        <v>0</v>
      </c>
      <c r="AM74" s="16" t="str">
        <f t="shared" si="15"/>
        <v>Passable</v>
      </c>
      <c r="AN74" s="126"/>
      <c r="AO74" s="127"/>
      <c r="AP74" s="25" t="s">
        <v>390</v>
      </c>
    </row>
    <row r="75" spans="1:42" ht="45" x14ac:dyDescent="0.25">
      <c r="A75" s="117">
        <v>44439</v>
      </c>
      <c r="B75" s="76"/>
      <c r="C75" s="25">
        <v>1803813</v>
      </c>
      <c r="D75" s="116" t="s">
        <v>170</v>
      </c>
      <c r="E75" s="77">
        <v>9</v>
      </c>
      <c r="F75" s="78">
        <v>684415.02386144199</v>
      </c>
      <c r="G75" s="79">
        <v>6035809.0709861796</v>
      </c>
      <c r="H75" s="77" t="s">
        <v>256</v>
      </c>
      <c r="I75" s="77" t="s">
        <v>257</v>
      </c>
      <c r="J75" s="80">
        <v>2.75</v>
      </c>
      <c r="K75" s="77" t="s">
        <v>380</v>
      </c>
      <c r="L75" s="25" t="s">
        <v>99</v>
      </c>
      <c r="M75" s="25" t="s">
        <v>100</v>
      </c>
      <c r="N75" s="114">
        <v>0.6</v>
      </c>
      <c r="O75" s="114">
        <v>13</v>
      </c>
      <c r="P75" s="116" t="s">
        <v>101</v>
      </c>
      <c r="Q75" s="122"/>
      <c r="R75" s="116" t="s">
        <v>101</v>
      </c>
      <c r="S75" s="116" t="s">
        <v>101</v>
      </c>
      <c r="T75" s="122"/>
      <c r="U75" s="114">
        <v>0.5</v>
      </c>
      <c r="V75" s="116">
        <v>0.18</v>
      </c>
      <c r="W75" s="114">
        <v>0.5</v>
      </c>
      <c r="X75" s="116" t="s">
        <v>104</v>
      </c>
      <c r="Y75" s="114">
        <v>4</v>
      </c>
      <c r="Z75" s="114">
        <v>0.7</v>
      </c>
      <c r="AA75" s="116">
        <v>5</v>
      </c>
      <c r="AB75" s="25" t="s">
        <v>101</v>
      </c>
      <c r="AC75" s="25" t="s">
        <v>101</v>
      </c>
      <c r="AD75" s="116" t="s">
        <v>102</v>
      </c>
      <c r="AE75" s="116" t="s">
        <v>103</v>
      </c>
      <c r="AF75" s="22">
        <f t="shared" si="17"/>
        <v>1.1666666666666667</v>
      </c>
      <c r="AG75" s="15">
        <f t="shared" si="10"/>
        <v>0</v>
      </c>
      <c r="AH75" s="7">
        <f t="shared" si="11"/>
        <v>10</v>
      </c>
      <c r="AI75" s="7">
        <f t="shared" si="12"/>
        <v>5</v>
      </c>
      <c r="AJ75" s="7">
        <f t="shared" si="13"/>
        <v>10</v>
      </c>
      <c r="AK75" s="12">
        <f t="shared" si="14"/>
        <v>3</v>
      </c>
      <c r="AL75" s="14">
        <f t="shared" si="16"/>
        <v>28</v>
      </c>
      <c r="AM75" s="16" t="str">
        <f t="shared" si="15"/>
        <v>Barrier</v>
      </c>
      <c r="AN75" s="125" t="s">
        <v>398</v>
      </c>
      <c r="AO75" s="114">
        <v>3</v>
      </c>
      <c r="AP75" s="25" t="s">
        <v>258</v>
      </c>
    </row>
    <row r="76" spans="1:42" ht="45" x14ac:dyDescent="0.25">
      <c r="A76" s="117">
        <v>44439</v>
      </c>
      <c r="B76" s="76"/>
      <c r="C76" s="25">
        <v>1805000</v>
      </c>
      <c r="D76" s="116" t="s">
        <v>170</v>
      </c>
      <c r="E76" s="77">
        <v>9</v>
      </c>
      <c r="F76" s="78">
        <v>685301.02751710999</v>
      </c>
      <c r="G76" s="79">
        <v>6036064.9992093705</v>
      </c>
      <c r="H76" s="77" t="s">
        <v>248</v>
      </c>
      <c r="I76" s="77" t="s">
        <v>257</v>
      </c>
      <c r="J76" s="80">
        <v>3.5</v>
      </c>
      <c r="K76" s="77" t="s">
        <v>380</v>
      </c>
      <c r="L76" s="25" t="s">
        <v>95</v>
      </c>
      <c r="M76" s="25" t="s">
        <v>153</v>
      </c>
      <c r="N76" s="114">
        <v>1.8</v>
      </c>
      <c r="O76" s="114">
        <v>30</v>
      </c>
      <c r="P76" s="121"/>
      <c r="Q76" s="122"/>
      <c r="R76" s="121"/>
      <c r="S76" s="121"/>
      <c r="T76" s="122"/>
      <c r="U76" s="122"/>
      <c r="V76" s="121"/>
      <c r="W76" s="122"/>
      <c r="X76" s="121"/>
      <c r="Y76" s="122"/>
      <c r="Z76" s="122"/>
      <c r="AA76" s="121"/>
      <c r="AB76" s="25" t="s">
        <v>101</v>
      </c>
      <c r="AC76" s="25" t="s">
        <v>101</v>
      </c>
      <c r="AD76" s="121"/>
      <c r="AE76" s="121"/>
      <c r="AF76" s="22">
        <f t="shared" si="17"/>
        <v>0</v>
      </c>
      <c r="AG76" s="15">
        <f t="shared" si="10"/>
        <v>6</v>
      </c>
      <c r="AH76" s="7">
        <f t="shared" si="11"/>
        <v>0</v>
      </c>
      <c r="AI76" s="7">
        <f t="shared" si="12"/>
        <v>0</v>
      </c>
      <c r="AJ76" s="7">
        <f t="shared" si="13"/>
        <v>0</v>
      </c>
      <c r="AK76" s="12">
        <f t="shared" si="14"/>
        <v>0</v>
      </c>
      <c r="AL76" s="14">
        <f t="shared" si="16"/>
        <v>6</v>
      </c>
      <c r="AM76" s="16" t="str">
        <f t="shared" si="15"/>
        <v>Passable</v>
      </c>
      <c r="AN76" s="126"/>
      <c r="AO76" s="127"/>
      <c r="AP76" s="25" t="s">
        <v>391</v>
      </c>
    </row>
    <row r="77" spans="1:42" ht="30" x14ac:dyDescent="0.25">
      <c r="A77" s="117">
        <v>44439</v>
      </c>
      <c r="B77" s="76"/>
      <c r="C77" s="25">
        <v>1802040</v>
      </c>
      <c r="D77" s="116" t="s">
        <v>170</v>
      </c>
      <c r="E77" s="77">
        <v>9</v>
      </c>
      <c r="F77" s="78">
        <v>684950.083472147</v>
      </c>
      <c r="G77" s="79">
        <v>6035440.0281009302</v>
      </c>
      <c r="H77" s="77" t="s">
        <v>256</v>
      </c>
      <c r="I77" s="77" t="s">
        <v>129</v>
      </c>
      <c r="J77" s="80"/>
      <c r="K77" s="77" t="s">
        <v>362</v>
      </c>
      <c r="L77" s="25" t="s">
        <v>99</v>
      </c>
      <c r="M77" s="25" t="s">
        <v>100</v>
      </c>
      <c r="N77" s="114">
        <v>0.6</v>
      </c>
      <c r="O77" s="114">
        <v>8</v>
      </c>
      <c r="P77" s="116" t="s">
        <v>101</v>
      </c>
      <c r="Q77" s="122"/>
      <c r="R77" s="116" t="s">
        <v>101</v>
      </c>
      <c r="S77" s="116" t="s">
        <v>101</v>
      </c>
      <c r="T77" s="122"/>
      <c r="U77" s="114">
        <v>0.3</v>
      </c>
      <c r="V77" s="116">
        <v>0</v>
      </c>
      <c r="W77" s="114">
        <v>0.6</v>
      </c>
      <c r="X77" s="116" t="s">
        <v>101</v>
      </c>
      <c r="Y77" s="114">
        <v>2</v>
      </c>
      <c r="Z77" s="114">
        <v>0.8</v>
      </c>
      <c r="AA77" s="116">
        <v>2</v>
      </c>
      <c r="AB77" s="25" t="s">
        <v>101</v>
      </c>
      <c r="AC77" s="25" t="s">
        <v>101</v>
      </c>
      <c r="AD77" s="116" t="s">
        <v>102</v>
      </c>
      <c r="AE77" s="116" t="s">
        <v>103</v>
      </c>
      <c r="AF77" s="22">
        <f t="shared" si="17"/>
        <v>1.3333333333333335</v>
      </c>
      <c r="AG77" s="15">
        <f t="shared" si="10"/>
        <v>0</v>
      </c>
      <c r="AH77" s="7">
        <f t="shared" si="11"/>
        <v>10</v>
      </c>
      <c r="AI77" s="7">
        <f t="shared" si="12"/>
        <v>0</v>
      </c>
      <c r="AJ77" s="7">
        <f t="shared" si="13"/>
        <v>5</v>
      </c>
      <c r="AK77" s="12">
        <f t="shared" si="14"/>
        <v>6</v>
      </c>
      <c r="AL77" s="14">
        <f t="shared" si="16"/>
        <v>21</v>
      </c>
      <c r="AM77" s="16" t="str">
        <f t="shared" si="15"/>
        <v>Barrier</v>
      </c>
      <c r="AN77" s="125" t="s">
        <v>398</v>
      </c>
      <c r="AO77" s="114">
        <v>3</v>
      </c>
      <c r="AP77" s="25" t="s">
        <v>535</v>
      </c>
    </row>
    <row r="78" spans="1:42" x14ac:dyDescent="0.25">
      <c r="A78" s="117">
        <v>44439</v>
      </c>
      <c r="B78" s="76"/>
      <c r="C78" s="25">
        <v>1802039</v>
      </c>
      <c r="D78" s="116" t="s">
        <v>170</v>
      </c>
      <c r="E78" s="77">
        <v>9</v>
      </c>
      <c r="F78" s="78">
        <v>685413.522101045</v>
      </c>
      <c r="G78" s="79">
        <v>6035362.1188799301</v>
      </c>
      <c r="H78" s="77" t="s">
        <v>248</v>
      </c>
      <c r="I78" s="77" t="s">
        <v>129</v>
      </c>
      <c r="J78" s="80"/>
      <c r="K78" s="77" t="s">
        <v>362</v>
      </c>
      <c r="L78" s="25" t="s">
        <v>95</v>
      </c>
      <c r="M78" s="25" t="s">
        <v>96</v>
      </c>
      <c r="N78" s="114">
        <v>11</v>
      </c>
      <c r="O78" s="114">
        <v>5</v>
      </c>
      <c r="P78" s="121"/>
      <c r="Q78" s="122"/>
      <c r="R78" s="121"/>
      <c r="S78" s="121"/>
      <c r="T78" s="122"/>
      <c r="U78" s="122"/>
      <c r="V78" s="121"/>
      <c r="W78" s="122"/>
      <c r="X78" s="121"/>
      <c r="Y78" s="122"/>
      <c r="Z78" s="122"/>
      <c r="AA78" s="121"/>
      <c r="AB78" s="25"/>
      <c r="AC78" s="25"/>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6"/>
      <c r="AO78" s="127"/>
      <c r="AP78" s="25" t="s">
        <v>259</v>
      </c>
    </row>
    <row r="79" spans="1:42" x14ac:dyDescent="0.25">
      <c r="A79" s="117">
        <v>44439</v>
      </c>
      <c r="B79" s="76"/>
      <c r="C79" s="25">
        <v>1800356</v>
      </c>
      <c r="D79" s="116" t="s">
        <v>170</v>
      </c>
      <c r="E79" s="77">
        <v>9</v>
      </c>
      <c r="F79" s="78">
        <v>680383.18690171605</v>
      </c>
      <c r="G79" s="79">
        <v>6040055.5083278902</v>
      </c>
      <c r="H79" s="77" t="s">
        <v>156</v>
      </c>
      <c r="I79" s="77" t="s">
        <v>141</v>
      </c>
      <c r="J79" s="80"/>
      <c r="K79" s="77" t="s">
        <v>379</v>
      </c>
      <c r="L79" s="25" t="s">
        <v>99</v>
      </c>
      <c r="M79" s="25" t="s">
        <v>100</v>
      </c>
      <c r="N79" s="114">
        <v>0.9</v>
      </c>
      <c r="O79" s="114">
        <v>33</v>
      </c>
      <c r="P79" s="116" t="s">
        <v>101</v>
      </c>
      <c r="Q79" s="122"/>
      <c r="R79" s="116" t="s">
        <v>101</v>
      </c>
      <c r="S79" s="116" t="s">
        <v>101</v>
      </c>
      <c r="T79" s="122"/>
      <c r="U79" s="114">
        <v>3</v>
      </c>
      <c r="V79" s="116">
        <v>0.93</v>
      </c>
      <c r="W79" s="114">
        <v>0.92</v>
      </c>
      <c r="X79" s="116" t="s">
        <v>101</v>
      </c>
      <c r="Y79" s="114">
        <v>3</v>
      </c>
      <c r="Z79" s="114">
        <v>2.2000000000000002</v>
      </c>
      <c r="AA79" s="116">
        <v>2</v>
      </c>
      <c r="AB79" s="25" t="s">
        <v>101</v>
      </c>
      <c r="AC79" s="25" t="s">
        <v>101</v>
      </c>
      <c r="AD79" s="116" t="s">
        <v>102</v>
      </c>
      <c r="AE79" s="116" t="s">
        <v>103</v>
      </c>
      <c r="AF79" s="22">
        <f t="shared" si="17"/>
        <v>2.4444444444444446</v>
      </c>
      <c r="AG79" s="15">
        <f t="shared" si="10"/>
        <v>6</v>
      </c>
      <c r="AH79" s="7">
        <f t="shared" si="11"/>
        <v>10</v>
      </c>
      <c r="AI79" s="7">
        <f t="shared" si="12"/>
        <v>10</v>
      </c>
      <c r="AJ79" s="7">
        <f t="shared" si="13"/>
        <v>10</v>
      </c>
      <c r="AK79" s="12">
        <f t="shared" si="14"/>
        <v>6</v>
      </c>
      <c r="AL79" s="14">
        <f t="shared" si="16"/>
        <v>42</v>
      </c>
      <c r="AM79" s="16" t="str">
        <f t="shared" si="15"/>
        <v>Barrier</v>
      </c>
      <c r="AN79" s="125" t="s">
        <v>399</v>
      </c>
      <c r="AO79" s="114">
        <v>10</v>
      </c>
      <c r="AP79" s="25" t="s">
        <v>260</v>
      </c>
    </row>
    <row r="80" spans="1:42" x14ac:dyDescent="0.25">
      <c r="A80" s="117">
        <v>44439</v>
      </c>
      <c r="B80" s="76"/>
      <c r="C80" s="25">
        <v>1801122</v>
      </c>
      <c r="D80" s="116" t="s">
        <v>170</v>
      </c>
      <c r="E80" s="77">
        <v>9</v>
      </c>
      <c r="F80" s="78">
        <v>680832.00003985001</v>
      </c>
      <c r="G80" s="79">
        <v>6040044.9625181099</v>
      </c>
      <c r="H80" s="77" t="s">
        <v>239</v>
      </c>
      <c r="I80" s="77" t="s">
        <v>127</v>
      </c>
      <c r="J80" s="80"/>
      <c r="K80" s="77" t="s">
        <v>362</v>
      </c>
      <c r="L80" s="25" t="s">
        <v>99</v>
      </c>
      <c r="M80" s="25" t="s">
        <v>100</v>
      </c>
      <c r="N80" s="114">
        <v>3</v>
      </c>
      <c r="O80" s="114">
        <v>10</v>
      </c>
      <c r="P80" s="116" t="s">
        <v>101</v>
      </c>
      <c r="Q80" s="122"/>
      <c r="R80" s="116" t="s">
        <v>101</v>
      </c>
      <c r="S80" s="116" t="s">
        <v>101</v>
      </c>
      <c r="T80" s="122"/>
      <c r="U80" s="114">
        <v>0.5</v>
      </c>
      <c r="V80" s="116">
        <v>0.3</v>
      </c>
      <c r="W80" s="114">
        <v>1.45</v>
      </c>
      <c r="X80" s="116" t="s">
        <v>101</v>
      </c>
      <c r="Y80" s="114">
        <v>4</v>
      </c>
      <c r="Z80" s="114">
        <v>6.5</v>
      </c>
      <c r="AA80" s="116">
        <v>3</v>
      </c>
      <c r="AB80" s="25" t="s">
        <v>101</v>
      </c>
      <c r="AC80" s="25" t="s">
        <v>101</v>
      </c>
      <c r="AD80" s="116" t="s">
        <v>102</v>
      </c>
      <c r="AE80" s="116" t="s">
        <v>110</v>
      </c>
      <c r="AF80" s="22">
        <f t="shared" si="17"/>
        <v>2.1666666666666665</v>
      </c>
      <c r="AG80" s="15">
        <f t="shared" si="10"/>
        <v>0</v>
      </c>
      <c r="AH80" s="7">
        <f t="shared" si="11"/>
        <v>10</v>
      </c>
      <c r="AI80" s="7">
        <f t="shared" si="12"/>
        <v>10</v>
      </c>
      <c r="AJ80" s="7">
        <f t="shared" si="13"/>
        <v>10</v>
      </c>
      <c r="AK80" s="12">
        <f t="shared" si="14"/>
        <v>6</v>
      </c>
      <c r="AL80" s="14">
        <f t="shared" si="16"/>
        <v>36</v>
      </c>
      <c r="AM80" s="16" t="str">
        <f t="shared" si="15"/>
        <v>Barrier</v>
      </c>
      <c r="AN80" s="125" t="s">
        <v>399</v>
      </c>
      <c r="AO80" s="114">
        <v>11.5</v>
      </c>
      <c r="AP80" s="25" t="s">
        <v>261</v>
      </c>
    </row>
    <row r="81" spans="1:42" x14ac:dyDescent="0.25">
      <c r="A81" s="117">
        <v>44439</v>
      </c>
      <c r="B81" s="76"/>
      <c r="C81" s="25">
        <v>1800355</v>
      </c>
      <c r="D81" s="116" t="s">
        <v>170</v>
      </c>
      <c r="E81" s="77">
        <v>9</v>
      </c>
      <c r="F81" s="78">
        <v>680644.76798266894</v>
      </c>
      <c r="G81" s="79">
        <v>6039755.5547551401</v>
      </c>
      <c r="H81" s="77" t="s">
        <v>239</v>
      </c>
      <c r="I81" s="77" t="s">
        <v>141</v>
      </c>
      <c r="J81" s="80"/>
      <c r="K81" s="77" t="s">
        <v>379</v>
      </c>
      <c r="L81" s="25" t="s">
        <v>99</v>
      </c>
      <c r="M81" s="25" t="s">
        <v>120</v>
      </c>
      <c r="N81" s="114">
        <v>3.5</v>
      </c>
      <c r="O81" s="114">
        <v>23</v>
      </c>
      <c r="P81" s="116" t="s">
        <v>101</v>
      </c>
      <c r="Q81" s="122"/>
      <c r="R81" s="116" t="s">
        <v>101</v>
      </c>
      <c r="S81" s="116" t="s">
        <v>104</v>
      </c>
      <c r="T81" s="114">
        <v>50</v>
      </c>
      <c r="U81" s="114">
        <v>3</v>
      </c>
      <c r="V81" s="116">
        <v>0</v>
      </c>
      <c r="W81" s="114">
        <v>0.55000000000000004</v>
      </c>
      <c r="X81" s="116" t="s">
        <v>101</v>
      </c>
      <c r="Y81" s="114">
        <v>2</v>
      </c>
      <c r="Z81" s="114">
        <v>7.5</v>
      </c>
      <c r="AA81" s="116">
        <v>4</v>
      </c>
      <c r="AB81" s="25" t="s">
        <v>101</v>
      </c>
      <c r="AC81" s="25" t="s">
        <v>104</v>
      </c>
      <c r="AD81" s="116" t="s">
        <v>102</v>
      </c>
      <c r="AE81" s="116" t="s">
        <v>139</v>
      </c>
      <c r="AF81" s="22">
        <f t="shared" si="17"/>
        <v>2.1428571428571428</v>
      </c>
      <c r="AG81" s="15">
        <f t="shared" si="10"/>
        <v>3</v>
      </c>
      <c r="AH81" s="7">
        <f t="shared" si="11"/>
        <v>10</v>
      </c>
      <c r="AI81" s="7">
        <f t="shared" si="12"/>
        <v>0</v>
      </c>
      <c r="AJ81" s="7">
        <f t="shared" si="13"/>
        <v>5</v>
      </c>
      <c r="AK81" s="12">
        <f t="shared" si="14"/>
        <v>6</v>
      </c>
      <c r="AL81" s="14">
        <f t="shared" si="16"/>
        <v>24</v>
      </c>
      <c r="AM81" s="16" t="str">
        <f t="shared" si="15"/>
        <v>Barrier</v>
      </c>
      <c r="AN81" s="125" t="s">
        <v>399</v>
      </c>
      <c r="AO81" s="114">
        <v>12.5</v>
      </c>
      <c r="AP81" s="25" t="s">
        <v>262</v>
      </c>
    </row>
    <row r="82" spans="1:42" ht="30" x14ac:dyDescent="0.25">
      <c r="A82" s="117">
        <v>44440</v>
      </c>
      <c r="B82" s="76"/>
      <c r="C82" s="25">
        <v>2021090150</v>
      </c>
      <c r="D82" s="116" t="s">
        <v>170</v>
      </c>
      <c r="E82" s="77">
        <v>9</v>
      </c>
      <c r="F82" s="78">
        <v>592509.82999999996</v>
      </c>
      <c r="G82" s="79">
        <v>6004822.9500000002</v>
      </c>
      <c r="H82" s="77" t="s">
        <v>118</v>
      </c>
      <c r="I82" s="77" t="s">
        <v>119</v>
      </c>
      <c r="J82" s="80"/>
      <c r="K82" s="77" t="s">
        <v>366</v>
      </c>
      <c r="L82" s="25" t="s">
        <v>95</v>
      </c>
      <c r="M82" s="25" t="s">
        <v>96</v>
      </c>
      <c r="N82" s="114">
        <v>11</v>
      </c>
      <c r="O82" s="114">
        <v>5</v>
      </c>
      <c r="P82" s="121"/>
      <c r="Q82" s="122"/>
      <c r="R82" s="121"/>
      <c r="S82" s="121"/>
      <c r="T82" s="122"/>
      <c r="U82" s="122"/>
      <c r="V82" s="121"/>
      <c r="W82" s="122"/>
      <c r="X82" s="121"/>
      <c r="Y82" s="122"/>
      <c r="Z82" s="122"/>
      <c r="AA82" s="121"/>
      <c r="AB82" s="25"/>
      <c r="AC82" s="25"/>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Passable</v>
      </c>
      <c r="AN82" s="126"/>
      <c r="AO82" s="127"/>
      <c r="AP82" s="25" t="s">
        <v>263</v>
      </c>
    </row>
    <row r="83" spans="1:42" ht="30" x14ac:dyDescent="0.25">
      <c r="A83" s="117">
        <v>44440</v>
      </c>
      <c r="B83" s="76"/>
      <c r="C83" s="25">
        <v>14000935</v>
      </c>
      <c r="D83" s="116" t="s">
        <v>170</v>
      </c>
      <c r="E83" s="77">
        <v>9</v>
      </c>
      <c r="F83" s="78">
        <v>592921.92000000004</v>
      </c>
      <c r="G83" s="79">
        <v>6005009.3099999996</v>
      </c>
      <c r="H83" s="77" t="s">
        <v>118</v>
      </c>
      <c r="I83" s="77" t="s">
        <v>119</v>
      </c>
      <c r="J83" s="80"/>
      <c r="K83" s="77" t="s">
        <v>366</v>
      </c>
      <c r="L83" s="25" t="s">
        <v>95</v>
      </c>
      <c r="M83" s="25" t="s">
        <v>96</v>
      </c>
      <c r="N83" s="114">
        <v>10</v>
      </c>
      <c r="O83" s="114">
        <v>5</v>
      </c>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Passable</v>
      </c>
      <c r="AN83" s="126"/>
      <c r="AO83" s="127"/>
      <c r="AP83" s="25" t="s">
        <v>264</v>
      </c>
    </row>
    <row r="84" spans="1:42" ht="30" x14ac:dyDescent="0.25">
      <c r="A84" s="117">
        <v>44440</v>
      </c>
      <c r="B84" s="76"/>
      <c r="C84" s="25">
        <v>14000934</v>
      </c>
      <c r="D84" s="116" t="s">
        <v>170</v>
      </c>
      <c r="E84" s="77">
        <v>9</v>
      </c>
      <c r="F84" s="78">
        <v>595765.26</v>
      </c>
      <c r="G84" s="79">
        <v>6006121.5199999996</v>
      </c>
      <c r="H84" s="77" t="s">
        <v>118</v>
      </c>
      <c r="I84" s="77" t="s">
        <v>119</v>
      </c>
      <c r="J84" s="80"/>
      <c r="K84" s="77" t="s">
        <v>366</v>
      </c>
      <c r="L84" s="25" t="s">
        <v>95</v>
      </c>
      <c r="M84" s="25" t="s">
        <v>96</v>
      </c>
      <c r="N84" s="114">
        <v>10</v>
      </c>
      <c r="O84" s="114">
        <v>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6"/>
      <c r="AO84" s="127"/>
      <c r="AP84" s="25" t="s">
        <v>265</v>
      </c>
    </row>
    <row r="85" spans="1:42" ht="30" x14ac:dyDescent="0.25">
      <c r="A85" s="117">
        <v>44440</v>
      </c>
      <c r="B85" s="76"/>
      <c r="C85" s="25">
        <v>14000956</v>
      </c>
      <c r="D85" s="116" t="s">
        <v>170</v>
      </c>
      <c r="E85" s="77">
        <v>9</v>
      </c>
      <c r="F85" s="78">
        <v>596610.53058170597</v>
      </c>
      <c r="G85" s="79">
        <v>6006122.9196187202</v>
      </c>
      <c r="H85" s="77" t="s">
        <v>118</v>
      </c>
      <c r="I85" s="77" t="s">
        <v>119</v>
      </c>
      <c r="J85" s="80"/>
      <c r="K85" s="77" t="s">
        <v>368</v>
      </c>
      <c r="L85" s="25" t="s">
        <v>99</v>
      </c>
      <c r="M85" s="25" t="s">
        <v>100</v>
      </c>
      <c r="N85" s="114">
        <v>2</v>
      </c>
      <c r="O85" s="114">
        <v>23</v>
      </c>
      <c r="P85" s="116" t="s">
        <v>104</v>
      </c>
      <c r="Q85" s="114">
        <v>0.3</v>
      </c>
      <c r="R85" s="116" t="s">
        <v>104</v>
      </c>
      <c r="S85" s="116" t="s">
        <v>101</v>
      </c>
      <c r="T85" s="122"/>
      <c r="U85" s="114">
        <v>2.5</v>
      </c>
      <c r="V85" s="116">
        <v>0</v>
      </c>
      <c r="W85" s="114">
        <v>0.1</v>
      </c>
      <c r="X85" s="116" t="s">
        <v>101</v>
      </c>
      <c r="Y85" s="114">
        <v>2</v>
      </c>
      <c r="Z85" s="114">
        <v>0.9</v>
      </c>
      <c r="AA85" s="116">
        <v>6</v>
      </c>
      <c r="AB85" s="25" t="s">
        <v>101</v>
      </c>
      <c r="AC85" s="25" t="s">
        <v>101</v>
      </c>
      <c r="AD85" s="116" t="s">
        <v>102</v>
      </c>
      <c r="AE85" s="116" t="s">
        <v>110</v>
      </c>
      <c r="AF85" s="22">
        <f t="shared" si="17"/>
        <v>0.45</v>
      </c>
      <c r="AG85" s="15">
        <f t="shared" si="10"/>
        <v>3</v>
      </c>
      <c r="AH85" s="7">
        <f t="shared" si="11"/>
        <v>5</v>
      </c>
      <c r="AI85" s="7">
        <f t="shared" si="12"/>
        <v>0</v>
      </c>
      <c r="AJ85" s="7">
        <f t="shared" si="13"/>
        <v>5</v>
      </c>
      <c r="AK85" s="12">
        <f t="shared" si="14"/>
        <v>0</v>
      </c>
      <c r="AL85" s="14">
        <f t="shared" si="16"/>
        <v>13</v>
      </c>
      <c r="AM85" s="16" t="str">
        <f t="shared" si="15"/>
        <v>Passable</v>
      </c>
      <c r="AN85" s="126"/>
      <c r="AO85" s="127"/>
      <c r="AP85" s="25" t="s">
        <v>266</v>
      </c>
    </row>
    <row r="86" spans="1:42" ht="30" x14ac:dyDescent="0.25">
      <c r="A86" s="117">
        <v>44440</v>
      </c>
      <c r="B86" s="76"/>
      <c r="C86" s="25">
        <v>14000951</v>
      </c>
      <c r="D86" s="116" t="s">
        <v>170</v>
      </c>
      <c r="E86" s="77">
        <v>9</v>
      </c>
      <c r="F86" s="78">
        <v>596697.94999999995</v>
      </c>
      <c r="G86" s="79">
        <v>6006213.3399999999</v>
      </c>
      <c r="H86" s="77" t="s">
        <v>118</v>
      </c>
      <c r="I86" s="77" t="s">
        <v>119</v>
      </c>
      <c r="J86" s="80"/>
      <c r="K86" s="77" t="s">
        <v>368</v>
      </c>
      <c r="L86" s="25" t="s">
        <v>99</v>
      </c>
      <c r="M86" s="25" t="s">
        <v>100</v>
      </c>
      <c r="N86" s="114">
        <v>2</v>
      </c>
      <c r="O86" s="114">
        <v>24</v>
      </c>
      <c r="P86" s="116" t="s">
        <v>104</v>
      </c>
      <c r="Q86" s="114">
        <v>0.4</v>
      </c>
      <c r="R86" s="116" t="s">
        <v>104</v>
      </c>
      <c r="S86" s="116" t="s">
        <v>104</v>
      </c>
      <c r="T86" s="114">
        <v>25</v>
      </c>
      <c r="U86" s="114">
        <v>2</v>
      </c>
      <c r="V86" s="116">
        <v>0</v>
      </c>
      <c r="W86" s="114">
        <v>0.2</v>
      </c>
      <c r="X86" s="116" t="s">
        <v>101</v>
      </c>
      <c r="Y86" s="114">
        <v>1.5</v>
      </c>
      <c r="Z86" s="114">
        <v>1.9</v>
      </c>
      <c r="AA86" s="116">
        <v>6</v>
      </c>
      <c r="AB86" s="25" t="s">
        <v>101</v>
      </c>
      <c r="AC86" s="25" t="s">
        <v>101</v>
      </c>
      <c r="AD86" s="116" t="s">
        <v>102</v>
      </c>
      <c r="AE86" s="116" t="s">
        <v>110</v>
      </c>
      <c r="AF86" s="22">
        <f t="shared" si="17"/>
        <v>0.95</v>
      </c>
      <c r="AG86" s="15">
        <f t="shared" si="10"/>
        <v>3</v>
      </c>
      <c r="AH86" s="7">
        <f t="shared" si="11"/>
        <v>5</v>
      </c>
      <c r="AI86" s="7">
        <f t="shared" si="12"/>
        <v>0</v>
      </c>
      <c r="AJ86" s="7">
        <f t="shared" si="13"/>
        <v>5</v>
      </c>
      <c r="AK86" s="12">
        <f t="shared" si="14"/>
        <v>0</v>
      </c>
      <c r="AL86" s="14">
        <f t="shared" si="16"/>
        <v>13</v>
      </c>
      <c r="AM86" s="16" t="str">
        <f t="shared" si="15"/>
        <v>Passable</v>
      </c>
      <c r="AN86" s="126"/>
      <c r="AO86" s="127"/>
      <c r="AP86" s="25" t="s">
        <v>267</v>
      </c>
    </row>
    <row r="87" spans="1:42" ht="30" x14ac:dyDescent="0.25">
      <c r="A87" s="117">
        <v>44440</v>
      </c>
      <c r="B87" s="76"/>
      <c r="C87" s="25">
        <v>14000941</v>
      </c>
      <c r="D87" s="116" t="s">
        <v>170</v>
      </c>
      <c r="E87" s="77">
        <v>9</v>
      </c>
      <c r="F87" s="78">
        <v>598157.43000000005</v>
      </c>
      <c r="G87" s="79">
        <v>6006328.79</v>
      </c>
      <c r="H87" s="77" t="s">
        <v>118</v>
      </c>
      <c r="I87" s="77" t="s">
        <v>119</v>
      </c>
      <c r="J87" s="80"/>
      <c r="K87" s="77" t="s">
        <v>368</v>
      </c>
      <c r="L87" s="25" t="s">
        <v>99</v>
      </c>
      <c r="M87" s="25" t="s">
        <v>100</v>
      </c>
      <c r="N87" s="114">
        <v>1.8</v>
      </c>
      <c r="O87" s="114">
        <v>24</v>
      </c>
      <c r="P87" s="116" t="s">
        <v>104</v>
      </c>
      <c r="Q87" s="114">
        <v>0.3</v>
      </c>
      <c r="R87" s="116" t="s">
        <v>104</v>
      </c>
      <c r="S87" s="116" t="s">
        <v>104</v>
      </c>
      <c r="T87" s="114">
        <v>25</v>
      </c>
      <c r="U87" s="114">
        <v>1</v>
      </c>
      <c r="V87" s="116">
        <v>0</v>
      </c>
      <c r="W87" s="114">
        <v>0.2</v>
      </c>
      <c r="X87" s="116" t="s">
        <v>101</v>
      </c>
      <c r="Y87" s="114">
        <v>3.5</v>
      </c>
      <c r="Z87" s="114">
        <v>2.2000000000000002</v>
      </c>
      <c r="AA87" s="116">
        <v>4</v>
      </c>
      <c r="AB87" s="25" t="s">
        <v>101</v>
      </c>
      <c r="AC87" s="25" t="s">
        <v>101</v>
      </c>
      <c r="AD87" s="116" t="s">
        <v>102</v>
      </c>
      <c r="AE87" s="116" t="s">
        <v>110</v>
      </c>
      <c r="AF87" s="22">
        <f t="shared" si="17"/>
        <v>1.2222222222222223</v>
      </c>
      <c r="AG87" s="15">
        <f t="shared" si="10"/>
        <v>3</v>
      </c>
      <c r="AH87" s="7">
        <f t="shared" si="11"/>
        <v>5</v>
      </c>
      <c r="AI87" s="7">
        <f t="shared" si="12"/>
        <v>0</v>
      </c>
      <c r="AJ87" s="7">
        <f t="shared" si="13"/>
        <v>10</v>
      </c>
      <c r="AK87" s="12">
        <f t="shared" si="14"/>
        <v>3</v>
      </c>
      <c r="AL87" s="14">
        <f t="shared" si="16"/>
        <v>21</v>
      </c>
      <c r="AM87" s="16" t="str">
        <f t="shared" si="15"/>
        <v>Barrier</v>
      </c>
      <c r="AN87" s="125" t="s">
        <v>399</v>
      </c>
      <c r="AO87" s="114">
        <v>10</v>
      </c>
      <c r="AP87" s="25" t="s">
        <v>268</v>
      </c>
    </row>
    <row r="88" spans="1:42" ht="30" x14ac:dyDescent="0.25">
      <c r="A88" s="117">
        <v>44440</v>
      </c>
      <c r="B88" s="76"/>
      <c r="C88" s="25">
        <v>14000488</v>
      </c>
      <c r="D88" s="116" t="s">
        <v>170</v>
      </c>
      <c r="E88" s="77">
        <v>9</v>
      </c>
      <c r="F88" s="78">
        <v>584581.04305186798</v>
      </c>
      <c r="G88" s="79">
        <v>6003387.65586833</v>
      </c>
      <c r="H88" s="77" t="s">
        <v>118</v>
      </c>
      <c r="I88" s="77" t="s">
        <v>119</v>
      </c>
      <c r="J88" s="80"/>
      <c r="K88" s="77" t="s">
        <v>381</v>
      </c>
      <c r="L88" s="25" t="s">
        <v>95</v>
      </c>
      <c r="M88" s="25" t="s">
        <v>96</v>
      </c>
      <c r="N88" s="114">
        <v>5</v>
      </c>
      <c r="O88" s="114">
        <v>12</v>
      </c>
      <c r="P88" s="121"/>
      <c r="Q88" s="122"/>
      <c r="R88" s="121"/>
      <c r="S88" s="121"/>
      <c r="T88" s="122"/>
      <c r="U88" s="122"/>
      <c r="V88" s="121"/>
      <c r="W88" s="122"/>
      <c r="X88" s="121"/>
      <c r="Y88" s="122"/>
      <c r="Z88" s="122"/>
      <c r="AA88" s="121"/>
      <c r="AB88" s="25"/>
      <c r="AC88" s="25"/>
      <c r="AD88" s="121"/>
      <c r="AE88" s="121"/>
      <c r="AF88" s="22">
        <f t="shared" si="17"/>
        <v>0</v>
      </c>
      <c r="AG88" s="15">
        <f t="shared" si="10"/>
        <v>0</v>
      </c>
      <c r="AH88" s="7">
        <f t="shared" si="11"/>
        <v>0</v>
      </c>
      <c r="AI88" s="7">
        <f t="shared" si="12"/>
        <v>0</v>
      </c>
      <c r="AJ88" s="7">
        <f t="shared" si="13"/>
        <v>0</v>
      </c>
      <c r="AK88" s="12">
        <f t="shared" si="14"/>
        <v>0</v>
      </c>
      <c r="AL88" s="14">
        <f t="shared" si="16"/>
        <v>0</v>
      </c>
      <c r="AM88" s="16" t="str">
        <f t="shared" si="15"/>
        <v>Passable</v>
      </c>
      <c r="AN88" s="126"/>
      <c r="AO88" s="127"/>
      <c r="AP88" s="25" t="s">
        <v>269</v>
      </c>
    </row>
    <row r="89" spans="1:42" ht="30" x14ac:dyDescent="0.25">
      <c r="A89" s="117">
        <v>44440</v>
      </c>
      <c r="B89" s="76"/>
      <c r="C89" s="25">
        <v>14000503</v>
      </c>
      <c r="D89" s="116" t="s">
        <v>170</v>
      </c>
      <c r="E89" s="77">
        <v>9</v>
      </c>
      <c r="F89" s="78">
        <v>584043.6</v>
      </c>
      <c r="G89" s="79">
        <v>6003654.7599999998</v>
      </c>
      <c r="H89" s="77" t="s">
        <v>118</v>
      </c>
      <c r="I89" s="77" t="s">
        <v>270</v>
      </c>
      <c r="J89" s="80"/>
      <c r="K89" s="77" t="s">
        <v>381</v>
      </c>
      <c r="L89" s="25" t="s">
        <v>95</v>
      </c>
      <c r="M89" s="25" t="s">
        <v>96</v>
      </c>
      <c r="N89" s="114">
        <v>22</v>
      </c>
      <c r="O89" s="114">
        <v>6</v>
      </c>
      <c r="P89" s="121"/>
      <c r="Q89" s="122"/>
      <c r="R89" s="121"/>
      <c r="S89" s="121"/>
      <c r="T89" s="122"/>
      <c r="U89" s="122"/>
      <c r="V89" s="121"/>
      <c r="W89" s="122"/>
      <c r="X89" s="121"/>
      <c r="Y89" s="122"/>
      <c r="Z89" s="122"/>
      <c r="AA89" s="121"/>
      <c r="AB89" s="25"/>
      <c r="AC89" s="25"/>
      <c r="AD89" s="121"/>
      <c r="AE89" s="121"/>
      <c r="AF89" s="22">
        <f t="shared" si="17"/>
        <v>0</v>
      </c>
      <c r="AG89" s="15">
        <f t="shared" si="10"/>
        <v>0</v>
      </c>
      <c r="AH89" s="7">
        <f t="shared" si="11"/>
        <v>0</v>
      </c>
      <c r="AI89" s="7">
        <f t="shared" si="12"/>
        <v>0</v>
      </c>
      <c r="AJ89" s="7">
        <f t="shared" si="13"/>
        <v>0</v>
      </c>
      <c r="AK89" s="12">
        <f t="shared" si="14"/>
        <v>0</v>
      </c>
      <c r="AL89" s="14">
        <f t="shared" si="16"/>
        <v>0</v>
      </c>
      <c r="AM89" s="16" t="str">
        <f t="shared" si="15"/>
        <v>Passable</v>
      </c>
      <c r="AN89" s="126"/>
      <c r="AO89" s="127"/>
      <c r="AP89" s="25" t="s">
        <v>271</v>
      </c>
    </row>
    <row r="90" spans="1:42" ht="30" x14ac:dyDescent="0.25">
      <c r="A90" s="117">
        <v>44440</v>
      </c>
      <c r="B90" s="76"/>
      <c r="C90" s="25">
        <v>14000500</v>
      </c>
      <c r="D90" s="116" t="s">
        <v>170</v>
      </c>
      <c r="E90" s="77">
        <v>9</v>
      </c>
      <c r="F90" s="78">
        <v>584889.52</v>
      </c>
      <c r="G90" s="79">
        <v>6003492.1799999997</v>
      </c>
      <c r="H90" s="77" t="s">
        <v>118</v>
      </c>
      <c r="I90" s="77" t="s">
        <v>270</v>
      </c>
      <c r="J90" s="80"/>
      <c r="K90" s="77" t="s">
        <v>381</v>
      </c>
      <c r="L90" s="25" t="s">
        <v>95</v>
      </c>
      <c r="M90" s="25" t="s">
        <v>96</v>
      </c>
      <c r="N90" s="114">
        <v>19</v>
      </c>
      <c r="O90" s="114">
        <v>5</v>
      </c>
      <c r="P90" s="121"/>
      <c r="Q90" s="122"/>
      <c r="R90" s="121"/>
      <c r="S90" s="121"/>
      <c r="T90" s="122"/>
      <c r="U90" s="122"/>
      <c r="V90" s="121"/>
      <c r="W90" s="122"/>
      <c r="X90" s="121"/>
      <c r="Y90" s="122"/>
      <c r="Z90" s="122"/>
      <c r="AA90" s="121"/>
      <c r="AB90" s="25"/>
      <c r="AC90" s="25"/>
      <c r="AD90" s="121"/>
      <c r="AE90" s="121"/>
      <c r="AF90" s="22">
        <f t="shared" si="17"/>
        <v>0</v>
      </c>
      <c r="AG90" s="15">
        <f t="shared" si="10"/>
        <v>0</v>
      </c>
      <c r="AH90" s="7">
        <f t="shared" si="11"/>
        <v>0</v>
      </c>
      <c r="AI90" s="7">
        <f t="shared" si="12"/>
        <v>0</v>
      </c>
      <c r="AJ90" s="7">
        <f t="shared" si="13"/>
        <v>0</v>
      </c>
      <c r="AK90" s="12">
        <f t="shared" si="14"/>
        <v>0</v>
      </c>
      <c r="AL90" s="14">
        <f t="shared" si="16"/>
        <v>0</v>
      </c>
      <c r="AM90" s="16" t="str">
        <f t="shared" si="15"/>
        <v>Passable</v>
      </c>
      <c r="AN90" s="126"/>
      <c r="AO90" s="127"/>
      <c r="AP90" s="25" t="s">
        <v>272</v>
      </c>
    </row>
    <row r="91" spans="1:42" ht="30" x14ac:dyDescent="0.25">
      <c r="A91" s="117">
        <v>44440</v>
      </c>
      <c r="B91" s="76"/>
      <c r="C91" s="25">
        <v>14000495</v>
      </c>
      <c r="D91" s="116" t="s">
        <v>170</v>
      </c>
      <c r="E91" s="77">
        <v>9</v>
      </c>
      <c r="F91" s="78">
        <v>585701.72</v>
      </c>
      <c r="G91" s="79">
        <v>6004479.9100000001</v>
      </c>
      <c r="H91" s="77" t="s">
        <v>118</v>
      </c>
      <c r="I91" s="77" t="s">
        <v>270</v>
      </c>
      <c r="J91" s="80"/>
      <c r="K91" s="77" t="s">
        <v>381</v>
      </c>
      <c r="L91" s="25" t="s">
        <v>95</v>
      </c>
      <c r="M91" s="25" t="s">
        <v>96</v>
      </c>
      <c r="N91" s="114">
        <v>16</v>
      </c>
      <c r="O91" s="114">
        <v>6</v>
      </c>
      <c r="P91" s="121"/>
      <c r="Q91" s="122"/>
      <c r="R91" s="121"/>
      <c r="S91" s="121"/>
      <c r="T91" s="122"/>
      <c r="U91" s="122"/>
      <c r="V91" s="121"/>
      <c r="W91" s="122"/>
      <c r="X91" s="121"/>
      <c r="Y91" s="122"/>
      <c r="Z91" s="122"/>
      <c r="AA91" s="121"/>
      <c r="AB91" s="25"/>
      <c r="AC91" s="25"/>
      <c r="AD91" s="121"/>
      <c r="AE91" s="121"/>
      <c r="AF91" s="22">
        <f t="shared" si="17"/>
        <v>0</v>
      </c>
      <c r="AG91" s="15">
        <f t="shared" si="10"/>
        <v>0</v>
      </c>
      <c r="AH91" s="7">
        <f t="shared" si="11"/>
        <v>0</v>
      </c>
      <c r="AI91" s="7">
        <f t="shared" si="12"/>
        <v>0</v>
      </c>
      <c r="AJ91" s="7">
        <f t="shared" si="13"/>
        <v>0</v>
      </c>
      <c r="AK91" s="12">
        <f t="shared" si="14"/>
        <v>0</v>
      </c>
      <c r="AL91" s="14">
        <f t="shared" si="16"/>
        <v>0</v>
      </c>
      <c r="AM91" s="16" t="str">
        <f t="shared" si="15"/>
        <v>Passable</v>
      </c>
      <c r="AN91" s="126"/>
      <c r="AO91" s="127"/>
      <c r="AP91" s="25" t="s">
        <v>273</v>
      </c>
    </row>
    <row r="92" spans="1:42" ht="30" x14ac:dyDescent="0.25">
      <c r="A92" s="117">
        <v>44440</v>
      </c>
      <c r="B92" s="76"/>
      <c r="C92" s="25">
        <v>14000421</v>
      </c>
      <c r="D92" s="116" t="s">
        <v>170</v>
      </c>
      <c r="E92" s="77">
        <v>9</v>
      </c>
      <c r="F92" s="78">
        <v>587108.39635754295</v>
      </c>
      <c r="G92" s="79">
        <v>6005345.6034496604</v>
      </c>
      <c r="H92" s="77" t="s">
        <v>118</v>
      </c>
      <c r="I92" s="77" t="s">
        <v>274</v>
      </c>
      <c r="J92" s="80"/>
      <c r="K92" s="77" t="s">
        <v>381</v>
      </c>
      <c r="L92" s="25" t="s">
        <v>95</v>
      </c>
      <c r="M92" s="25" t="s">
        <v>96</v>
      </c>
      <c r="N92" s="114">
        <v>20</v>
      </c>
      <c r="O92" s="114">
        <v>6</v>
      </c>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Passable</v>
      </c>
      <c r="AN92" s="126"/>
      <c r="AO92" s="127"/>
      <c r="AP92" s="25" t="s">
        <v>275</v>
      </c>
    </row>
    <row r="93" spans="1:42" ht="30" x14ac:dyDescent="0.25">
      <c r="A93" s="117">
        <v>44440</v>
      </c>
      <c r="B93" s="76"/>
      <c r="C93" s="25">
        <v>14000505</v>
      </c>
      <c r="D93" s="116" t="s">
        <v>170</v>
      </c>
      <c r="E93" s="77">
        <v>9</v>
      </c>
      <c r="F93" s="78">
        <v>587095.15</v>
      </c>
      <c r="G93" s="79">
        <v>6005361.8700000001</v>
      </c>
      <c r="H93" s="77" t="s">
        <v>118</v>
      </c>
      <c r="I93" s="77" t="s">
        <v>270</v>
      </c>
      <c r="J93" s="80"/>
      <c r="K93" s="77" t="s">
        <v>381</v>
      </c>
      <c r="L93" s="25" t="s">
        <v>95</v>
      </c>
      <c r="M93" s="25" t="s">
        <v>96</v>
      </c>
      <c r="N93" s="114">
        <v>18</v>
      </c>
      <c r="O93" s="114">
        <v>6</v>
      </c>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Passable</v>
      </c>
      <c r="AN93" s="126"/>
      <c r="AO93" s="127"/>
      <c r="AP93" s="25" t="s">
        <v>276</v>
      </c>
    </row>
    <row r="94" spans="1:42" ht="30" x14ac:dyDescent="0.25">
      <c r="A94" s="117">
        <v>44446</v>
      </c>
      <c r="B94" s="76"/>
      <c r="C94" s="116">
        <v>14000801</v>
      </c>
      <c r="D94" s="116" t="s">
        <v>92</v>
      </c>
      <c r="E94" s="77">
        <v>9</v>
      </c>
      <c r="F94" s="78">
        <v>640778</v>
      </c>
      <c r="G94" s="79">
        <v>6020795</v>
      </c>
      <c r="H94" s="77" t="s">
        <v>122</v>
      </c>
      <c r="I94" s="77" t="s">
        <v>167</v>
      </c>
      <c r="J94" s="80">
        <v>13.8</v>
      </c>
      <c r="K94" s="77" t="s">
        <v>378</v>
      </c>
      <c r="L94" s="116" t="s">
        <v>99</v>
      </c>
      <c r="M94" s="116" t="s">
        <v>100</v>
      </c>
      <c r="N94" s="114">
        <v>1.35</v>
      </c>
      <c r="O94" s="114">
        <v>19</v>
      </c>
      <c r="P94" s="116" t="s">
        <v>101</v>
      </c>
      <c r="Q94" s="122"/>
      <c r="R94" s="116" t="s">
        <v>101</v>
      </c>
      <c r="S94" s="116" t="s">
        <v>101</v>
      </c>
      <c r="T94" s="122"/>
      <c r="U94" s="114">
        <v>2</v>
      </c>
      <c r="V94" s="116">
        <v>0</v>
      </c>
      <c r="W94" s="114">
        <v>0</v>
      </c>
      <c r="X94" s="116" t="s">
        <v>104</v>
      </c>
      <c r="Y94" s="114">
        <v>3</v>
      </c>
      <c r="Z94" s="114">
        <v>2.2000000000000002</v>
      </c>
      <c r="AA94" s="116">
        <v>1.5</v>
      </c>
      <c r="AB94" s="25" t="s">
        <v>101</v>
      </c>
      <c r="AC94" s="25" t="s">
        <v>104</v>
      </c>
      <c r="AD94" s="116" t="s">
        <v>102</v>
      </c>
      <c r="AE94" s="116" t="s">
        <v>110</v>
      </c>
      <c r="AF94" s="22">
        <f t="shared" si="17"/>
        <v>1.6296296296296298</v>
      </c>
      <c r="AG94" s="15">
        <f t="shared" si="10"/>
        <v>3</v>
      </c>
      <c r="AH94" s="7">
        <f t="shared" si="11"/>
        <v>10</v>
      </c>
      <c r="AI94" s="7">
        <f t="shared" si="12"/>
        <v>0</v>
      </c>
      <c r="AJ94" s="7">
        <f t="shared" si="13"/>
        <v>10</v>
      </c>
      <c r="AK94" s="12">
        <f t="shared" si="14"/>
        <v>6</v>
      </c>
      <c r="AL94" s="14">
        <f t="shared" si="16"/>
        <v>29</v>
      </c>
      <c r="AM94" s="16" t="str">
        <f t="shared" si="15"/>
        <v>Barrier</v>
      </c>
      <c r="AN94" s="125" t="s">
        <v>399</v>
      </c>
      <c r="AO94" s="114">
        <v>10</v>
      </c>
      <c r="AP94" s="116" t="s">
        <v>336</v>
      </c>
    </row>
    <row r="95" spans="1:42" ht="30" x14ac:dyDescent="0.25">
      <c r="A95" s="117">
        <v>44440</v>
      </c>
      <c r="B95" s="76"/>
      <c r="C95" s="25">
        <v>14000490</v>
      </c>
      <c r="D95" s="116" t="s">
        <v>170</v>
      </c>
      <c r="E95" s="77">
        <v>9</v>
      </c>
      <c r="F95" s="78">
        <v>587080.73</v>
      </c>
      <c r="G95" s="79">
        <v>6005468.4400000004</v>
      </c>
      <c r="H95" s="77" t="s">
        <v>118</v>
      </c>
      <c r="I95" s="77" t="s">
        <v>270</v>
      </c>
      <c r="J95" s="80"/>
      <c r="K95" s="77" t="s">
        <v>381</v>
      </c>
      <c r="L95" s="25" t="s">
        <v>95</v>
      </c>
      <c r="M95" s="25" t="s">
        <v>96</v>
      </c>
      <c r="N95" s="114">
        <v>13</v>
      </c>
      <c r="O95" s="114">
        <v>6</v>
      </c>
      <c r="P95" s="121"/>
      <c r="Q95" s="122"/>
      <c r="R95" s="121"/>
      <c r="S95" s="121"/>
      <c r="T95" s="122"/>
      <c r="U95" s="122"/>
      <c r="V95" s="121"/>
      <c r="W95" s="122"/>
      <c r="X95" s="121"/>
      <c r="Y95" s="122"/>
      <c r="Z95" s="122"/>
      <c r="AA95" s="121"/>
      <c r="AB95" s="25"/>
      <c r="AC95" s="25"/>
      <c r="AD95" s="121"/>
      <c r="AE95" s="121"/>
      <c r="AF95" s="22">
        <f t="shared" si="17"/>
        <v>0</v>
      </c>
      <c r="AG95" s="15">
        <f t="shared" si="10"/>
        <v>0</v>
      </c>
      <c r="AH95" s="7">
        <f t="shared" si="11"/>
        <v>0</v>
      </c>
      <c r="AI95" s="7">
        <f t="shared" si="12"/>
        <v>0</v>
      </c>
      <c r="AJ95" s="7">
        <f t="shared" si="13"/>
        <v>0</v>
      </c>
      <c r="AK95" s="12">
        <f t="shared" si="14"/>
        <v>0</v>
      </c>
      <c r="AL95" s="14">
        <f t="shared" si="16"/>
        <v>0</v>
      </c>
      <c r="AM95" s="16" t="str">
        <f t="shared" si="15"/>
        <v>Passable</v>
      </c>
      <c r="AN95" s="126"/>
      <c r="AO95" s="127"/>
      <c r="AP95" s="25" t="s">
        <v>277</v>
      </c>
    </row>
    <row r="96" spans="1:42" ht="30" x14ac:dyDescent="0.25">
      <c r="A96" s="117">
        <v>44440</v>
      </c>
      <c r="B96" s="76"/>
      <c r="C96" s="25">
        <v>14000506</v>
      </c>
      <c r="D96" s="116" t="s">
        <v>170</v>
      </c>
      <c r="E96" s="77">
        <v>9</v>
      </c>
      <c r="F96" s="78">
        <v>587368.16</v>
      </c>
      <c r="G96" s="79">
        <v>6005868.9699999997</v>
      </c>
      <c r="H96" s="77" t="s">
        <v>118</v>
      </c>
      <c r="I96" s="77" t="s">
        <v>270</v>
      </c>
      <c r="J96" s="80">
        <v>19</v>
      </c>
      <c r="K96" s="77" t="s">
        <v>381</v>
      </c>
      <c r="L96" s="25" t="s">
        <v>99</v>
      </c>
      <c r="M96" s="25" t="s">
        <v>100</v>
      </c>
      <c r="N96" s="114">
        <v>1.2</v>
      </c>
      <c r="O96" s="114">
        <v>25</v>
      </c>
      <c r="P96" s="116" t="s">
        <v>101</v>
      </c>
      <c r="Q96" s="122"/>
      <c r="R96" s="116" t="s">
        <v>101</v>
      </c>
      <c r="S96" s="116" t="s">
        <v>101</v>
      </c>
      <c r="T96" s="122"/>
      <c r="U96" s="114">
        <v>7</v>
      </c>
      <c r="V96" s="116">
        <v>0</v>
      </c>
      <c r="W96" s="114">
        <v>0</v>
      </c>
      <c r="X96" s="116" t="s">
        <v>104</v>
      </c>
      <c r="Y96" s="114">
        <v>8</v>
      </c>
      <c r="Z96" s="114">
        <v>0.8</v>
      </c>
      <c r="AA96" s="116">
        <v>6.5</v>
      </c>
      <c r="AB96" s="25" t="s">
        <v>101</v>
      </c>
      <c r="AC96" s="25" t="s">
        <v>101</v>
      </c>
      <c r="AD96" s="116" t="s">
        <v>102</v>
      </c>
      <c r="AE96" s="116" t="s">
        <v>110</v>
      </c>
      <c r="AF96" s="22">
        <f t="shared" si="17"/>
        <v>0.66666666666666674</v>
      </c>
      <c r="AG96" s="15">
        <f t="shared" si="10"/>
        <v>3</v>
      </c>
      <c r="AH96" s="7">
        <f t="shared" si="11"/>
        <v>10</v>
      </c>
      <c r="AI96" s="7">
        <f t="shared" si="12"/>
        <v>0</v>
      </c>
      <c r="AJ96" s="7">
        <f t="shared" si="13"/>
        <v>10</v>
      </c>
      <c r="AK96" s="12">
        <f t="shared" si="14"/>
        <v>0</v>
      </c>
      <c r="AL96" s="14">
        <f t="shared" si="16"/>
        <v>23</v>
      </c>
      <c r="AM96" s="16" t="str">
        <f t="shared" si="15"/>
        <v>Barrier</v>
      </c>
      <c r="AN96" s="125" t="s">
        <v>398</v>
      </c>
      <c r="AO96" s="114">
        <v>3</v>
      </c>
      <c r="AP96" s="25" t="s">
        <v>392</v>
      </c>
    </row>
    <row r="97" spans="1:42" ht="30" x14ac:dyDescent="0.25">
      <c r="A97" s="117">
        <v>44440</v>
      </c>
      <c r="B97" s="76"/>
      <c r="C97" s="25">
        <v>2021090161</v>
      </c>
      <c r="D97" s="116" t="s">
        <v>170</v>
      </c>
      <c r="E97" s="77">
        <v>9</v>
      </c>
      <c r="F97" s="78">
        <v>587307.55000000005</v>
      </c>
      <c r="G97" s="79">
        <v>6005829.9900000002</v>
      </c>
      <c r="H97" s="77" t="s">
        <v>118</v>
      </c>
      <c r="I97" s="77" t="s">
        <v>270</v>
      </c>
      <c r="J97" s="80">
        <v>19</v>
      </c>
      <c r="K97" s="77" t="s">
        <v>381</v>
      </c>
      <c r="L97" s="25" t="s">
        <v>99</v>
      </c>
      <c r="M97" s="25" t="s">
        <v>100</v>
      </c>
      <c r="N97" s="114">
        <v>0.9</v>
      </c>
      <c r="O97" s="114">
        <v>30</v>
      </c>
      <c r="P97" s="116" t="s">
        <v>101</v>
      </c>
      <c r="Q97" s="122"/>
      <c r="R97" s="116" t="s">
        <v>101</v>
      </c>
      <c r="S97" s="116" t="s">
        <v>101</v>
      </c>
      <c r="T97" s="122"/>
      <c r="U97" s="114">
        <v>2</v>
      </c>
      <c r="V97" s="116">
        <v>0</v>
      </c>
      <c r="W97" s="114">
        <v>0</v>
      </c>
      <c r="X97" s="116" t="s">
        <v>101</v>
      </c>
      <c r="Y97" s="114">
        <v>10</v>
      </c>
      <c r="Z97" s="114">
        <v>0.5</v>
      </c>
      <c r="AA97" s="116">
        <v>6</v>
      </c>
      <c r="AB97" s="25" t="s">
        <v>101</v>
      </c>
      <c r="AC97" s="25" t="s">
        <v>101</v>
      </c>
      <c r="AD97" s="116" t="s">
        <v>102</v>
      </c>
      <c r="AE97" s="116" t="s">
        <v>103</v>
      </c>
      <c r="AF97" s="22">
        <f t="shared" si="17"/>
        <v>0.55555555555555558</v>
      </c>
      <c r="AG97" s="15">
        <f t="shared" si="10"/>
        <v>6</v>
      </c>
      <c r="AH97" s="7">
        <f t="shared" si="11"/>
        <v>10</v>
      </c>
      <c r="AI97" s="7">
        <f t="shared" si="12"/>
        <v>0</v>
      </c>
      <c r="AJ97" s="7">
        <f t="shared" si="13"/>
        <v>10</v>
      </c>
      <c r="AK97" s="12">
        <f t="shared" si="14"/>
        <v>0</v>
      </c>
      <c r="AL97" s="14">
        <f t="shared" si="16"/>
        <v>26</v>
      </c>
      <c r="AM97" s="16" t="str">
        <f t="shared" si="15"/>
        <v>Barrier</v>
      </c>
      <c r="AN97" s="125" t="s">
        <v>398</v>
      </c>
      <c r="AO97" s="114">
        <v>3</v>
      </c>
      <c r="AP97" s="25" t="s">
        <v>278</v>
      </c>
    </row>
    <row r="98" spans="1:42" ht="30" x14ac:dyDescent="0.25">
      <c r="A98" s="117">
        <v>44440</v>
      </c>
      <c r="B98" s="76"/>
      <c r="C98" s="25">
        <v>14000494</v>
      </c>
      <c r="D98" s="116" t="s">
        <v>170</v>
      </c>
      <c r="E98" s="77">
        <v>9</v>
      </c>
      <c r="F98" s="78">
        <v>588957.380100635</v>
      </c>
      <c r="G98" s="79">
        <v>6007080.7107621301</v>
      </c>
      <c r="H98" s="77" t="s">
        <v>118</v>
      </c>
      <c r="I98" s="77" t="s">
        <v>270</v>
      </c>
      <c r="J98" s="80"/>
      <c r="K98" s="77" t="s">
        <v>381</v>
      </c>
      <c r="L98" s="25" t="s">
        <v>95</v>
      </c>
      <c r="M98" s="25" t="s">
        <v>96</v>
      </c>
      <c r="N98" s="114">
        <v>28</v>
      </c>
      <c r="O98" s="114">
        <v>7</v>
      </c>
      <c r="P98" s="121"/>
      <c r="Q98" s="122"/>
      <c r="R98" s="121"/>
      <c r="S98" s="121"/>
      <c r="T98" s="122"/>
      <c r="U98" s="122"/>
      <c r="V98" s="121"/>
      <c r="W98" s="122"/>
      <c r="X98" s="121"/>
      <c r="Y98" s="122"/>
      <c r="Z98" s="122"/>
      <c r="AA98" s="121"/>
      <c r="AB98" s="25"/>
      <c r="AC98" s="25"/>
      <c r="AD98" s="121"/>
      <c r="AE98" s="121"/>
      <c r="AF98" s="22">
        <f t="shared" si="17"/>
        <v>0</v>
      </c>
      <c r="AG98" s="15">
        <f t="shared" si="10"/>
        <v>0</v>
      </c>
      <c r="AH98" s="7">
        <f t="shared" si="11"/>
        <v>0</v>
      </c>
      <c r="AI98" s="7">
        <f t="shared" si="12"/>
        <v>0</v>
      </c>
      <c r="AJ98" s="7">
        <f t="shared" si="13"/>
        <v>0</v>
      </c>
      <c r="AK98" s="12">
        <f t="shared" si="14"/>
        <v>0</v>
      </c>
      <c r="AL98" s="14">
        <f t="shared" si="16"/>
        <v>0</v>
      </c>
      <c r="AM98" s="16" t="str">
        <f t="shared" si="15"/>
        <v>Passable</v>
      </c>
      <c r="AN98" s="126"/>
      <c r="AO98" s="127"/>
      <c r="AP98" s="25" t="s">
        <v>279</v>
      </c>
    </row>
    <row r="99" spans="1:42" ht="30" x14ac:dyDescent="0.25">
      <c r="A99" s="117">
        <v>44440</v>
      </c>
      <c r="B99" s="76"/>
      <c r="C99" s="25">
        <v>14000481</v>
      </c>
      <c r="D99" s="116" t="s">
        <v>170</v>
      </c>
      <c r="E99" s="77">
        <v>9</v>
      </c>
      <c r="F99" s="78">
        <v>589783.61176328897</v>
      </c>
      <c r="G99" s="79">
        <v>6007797.9390113102</v>
      </c>
      <c r="H99" s="77" t="s">
        <v>118</v>
      </c>
      <c r="I99" s="77" t="s">
        <v>270</v>
      </c>
      <c r="J99" s="80">
        <v>16</v>
      </c>
      <c r="K99" s="77" t="s">
        <v>381</v>
      </c>
      <c r="L99" s="25" t="s">
        <v>99</v>
      </c>
      <c r="M99" s="25" t="s">
        <v>100</v>
      </c>
      <c r="N99" s="114">
        <v>0.9</v>
      </c>
      <c r="O99" s="114">
        <v>16</v>
      </c>
      <c r="P99" s="116" t="s">
        <v>101</v>
      </c>
      <c r="Q99" s="122"/>
      <c r="R99" s="116" t="s">
        <v>101</v>
      </c>
      <c r="S99" s="116" t="s">
        <v>104</v>
      </c>
      <c r="T99" s="114">
        <v>10</v>
      </c>
      <c r="U99" s="114">
        <v>1</v>
      </c>
      <c r="V99" s="116">
        <v>0</v>
      </c>
      <c r="W99" s="114">
        <v>0.15</v>
      </c>
      <c r="X99" s="116" t="s">
        <v>101</v>
      </c>
      <c r="Y99" s="114">
        <v>5</v>
      </c>
      <c r="Z99" s="114">
        <v>1.1000000000000001</v>
      </c>
      <c r="AA99" s="116">
        <v>6</v>
      </c>
      <c r="AB99" s="25" t="s">
        <v>101</v>
      </c>
      <c r="AC99" s="25" t="s">
        <v>101</v>
      </c>
      <c r="AD99" s="116" t="s">
        <v>102</v>
      </c>
      <c r="AE99" s="116" t="s">
        <v>110</v>
      </c>
      <c r="AF99" s="22">
        <f t="shared" si="17"/>
        <v>1.2222222222222223</v>
      </c>
      <c r="AG99" s="15">
        <f t="shared" si="10"/>
        <v>3</v>
      </c>
      <c r="AH99" s="7">
        <f t="shared" si="11"/>
        <v>10</v>
      </c>
      <c r="AI99" s="7">
        <f t="shared" si="12"/>
        <v>0</v>
      </c>
      <c r="AJ99" s="7">
        <f t="shared" si="13"/>
        <v>10</v>
      </c>
      <c r="AK99" s="12">
        <f t="shared" si="14"/>
        <v>3</v>
      </c>
      <c r="AL99" s="14">
        <f t="shared" si="16"/>
        <v>26</v>
      </c>
      <c r="AM99" s="16" t="str">
        <f t="shared" si="15"/>
        <v>Barrier</v>
      </c>
      <c r="AN99" s="125" t="s">
        <v>398</v>
      </c>
      <c r="AO99" s="114">
        <v>3</v>
      </c>
      <c r="AP99" s="25" t="s">
        <v>280</v>
      </c>
    </row>
    <row r="100" spans="1:42" ht="30" x14ac:dyDescent="0.25">
      <c r="A100" s="117">
        <v>44440</v>
      </c>
      <c r="B100" s="76"/>
      <c r="C100" s="25">
        <v>14000486</v>
      </c>
      <c r="D100" s="116" t="s">
        <v>170</v>
      </c>
      <c r="E100" s="77">
        <v>9</v>
      </c>
      <c r="F100" s="78">
        <v>590552.05460436095</v>
      </c>
      <c r="G100" s="79">
        <v>6008295.4029919403</v>
      </c>
      <c r="H100" s="77" t="s">
        <v>118</v>
      </c>
      <c r="I100" s="77" t="s">
        <v>270</v>
      </c>
      <c r="J100" s="80">
        <v>14.5</v>
      </c>
      <c r="K100" s="77" t="s">
        <v>381</v>
      </c>
      <c r="L100" s="25" t="s">
        <v>99</v>
      </c>
      <c r="M100" s="25" t="s">
        <v>100</v>
      </c>
      <c r="N100" s="114">
        <v>2.2000000000000002</v>
      </c>
      <c r="O100" s="114">
        <v>25</v>
      </c>
      <c r="P100" s="116" t="s">
        <v>104</v>
      </c>
      <c r="Q100" s="114">
        <v>0.75</v>
      </c>
      <c r="R100" s="116" t="s">
        <v>104</v>
      </c>
      <c r="S100" s="116" t="s">
        <v>101</v>
      </c>
      <c r="T100" s="122"/>
      <c r="U100" s="114">
        <v>1.5</v>
      </c>
      <c r="V100" s="116">
        <v>0</v>
      </c>
      <c r="W100" s="114">
        <v>0.2</v>
      </c>
      <c r="X100" s="116" t="s">
        <v>101</v>
      </c>
      <c r="Y100" s="114">
        <v>3</v>
      </c>
      <c r="Z100" s="114">
        <v>0.8</v>
      </c>
      <c r="AA100" s="116">
        <v>6.5</v>
      </c>
      <c r="AB100" s="25" t="s">
        <v>101</v>
      </c>
      <c r="AC100" s="25" t="s">
        <v>101</v>
      </c>
      <c r="AD100" s="116" t="s">
        <v>102</v>
      </c>
      <c r="AE100" s="116" t="s">
        <v>110</v>
      </c>
      <c r="AF100" s="22">
        <f t="shared" si="17"/>
        <v>0.36363636363636365</v>
      </c>
      <c r="AG100" s="15">
        <f t="shared" si="10"/>
        <v>3</v>
      </c>
      <c r="AH100" s="7">
        <f t="shared" si="11"/>
        <v>0</v>
      </c>
      <c r="AI100" s="7">
        <f t="shared" si="12"/>
        <v>0</v>
      </c>
      <c r="AJ100" s="7">
        <f t="shared" si="13"/>
        <v>10</v>
      </c>
      <c r="AK100" s="12">
        <f t="shared" si="14"/>
        <v>0</v>
      </c>
      <c r="AL100" s="14">
        <f t="shared" si="16"/>
        <v>13</v>
      </c>
      <c r="AM100" s="16" t="str">
        <f t="shared" si="15"/>
        <v>Passable</v>
      </c>
      <c r="AN100" s="126"/>
      <c r="AO100" s="127"/>
      <c r="AP100" s="25" t="s">
        <v>281</v>
      </c>
    </row>
    <row r="101" spans="1:42" ht="30" x14ac:dyDescent="0.25">
      <c r="A101" s="82">
        <v>44440</v>
      </c>
      <c r="B101" s="76"/>
      <c r="C101" s="25">
        <v>14000487</v>
      </c>
      <c r="D101" s="116" t="s">
        <v>170</v>
      </c>
      <c r="E101" s="77">
        <v>9</v>
      </c>
      <c r="F101" s="78">
        <v>590984.97036818205</v>
      </c>
      <c r="G101" s="79">
        <v>6008507.9976773001</v>
      </c>
      <c r="H101" s="77" t="s">
        <v>118</v>
      </c>
      <c r="I101" s="77" t="s">
        <v>270</v>
      </c>
      <c r="J101" s="80"/>
      <c r="K101" s="77" t="s">
        <v>381</v>
      </c>
      <c r="L101" s="25" t="s">
        <v>95</v>
      </c>
      <c r="M101" s="25" t="s">
        <v>96</v>
      </c>
      <c r="N101" s="114">
        <v>22</v>
      </c>
      <c r="O101" s="114">
        <v>6</v>
      </c>
      <c r="P101" s="121"/>
      <c r="Q101" s="122"/>
      <c r="R101" s="121"/>
      <c r="S101" s="121"/>
      <c r="T101" s="122"/>
      <c r="U101" s="122"/>
      <c r="V101" s="121"/>
      <c r="W101" s="122"/>
      <c r="X101" s="121"/>
      <c r="Y101" s="122"/>
      <c r="Z101" s="122"/>
      <c r="AA101" s="121"/>
      <c r="AB101" s="25"/>
      <c r="AC101" s="25"/>
      <c r="AD101" s="121"/>
      <c r="AE101" s="121"/>
      <c r="AF101" s="22">
        <f t="shared" si="17"/>
        <v>0</v>
      </c>
      <c r="AG101" s="15">
        <f t="shared" si="10"/>
        <v>0</v>
      </c>
      <c r="AH101" s="7">
        <f t="shared" si="11"/>
        <v>0</v>
      </c>
      <c r="AI101" s="7">
        <f t="shared" si="12"/>
        <v>0</v>
      </c>
      <c r="AJ101" s="7">
        <f t="shared" si="13"/>
        <v>0</v>
      </c>
      <c r="AK101" s="12">
        <f t="shared" si="14"/>
        <v>0</v>
      </c>
      <c r="AL101" s="14">
        <f t="shared" si="16"/>
        <v>0</v>
      </c>
      <c r="AM101" s="16" t="str">
        <f t="shared" si="15"/>
        <v>Passable</v>
      </c>
      <c r="AN101" s="121"/>
      <c r="AO101" s="122"/>
      <c r="AP101" s="25" t="s">
        <v>282</v>
      </c>
    </row>
    <row r="102" spans="1:42" ht="30" x14ac:dyDescent="0.25">
      <c r="A102" s="82">
        <v>44440</v>
      </c>
      <c r="B102" s="76"/>
      <c r="C102" s="25">
        <v>14000492</v>
      </c>
      <c r="D102" s="116" t="s">
        <v>170</v>
      </c>
      <c r="E102" s="77">
        <v>9</v>
      </c>
      <c r="F102" s="78">
        <v>591945.68860384496</v>
      </c>
      <c r="G102" s="79">
        <v>6008758.0333737005</v>
      </c>
      <c r="H102" s="77" t="s">
        <v>118</v>
      </c>
      <c r="I102" s="77" t="s">
        <v>270</v>
      </c>
      <c r="J102" s="80"/>
      <c r="K102" s="77" t="s">
        <v>381</v>
      </c>
      <c r="L102" s="25" t="s">
        <v>95</v>
      </c>
      <c r="M102" s="25" t="s">
        <v>96</v>
      </c>
      <c r="N102" s="114">
        <v>11</v>
      </c>
      <c r="O102" s="114">
        <v>6</v>
      </c>
      <c r="P102" s="121"/>
      <c r="Q102" s="122"/>
      <c r="R102" s="121"/>
      <c r="S102" s="121"/>
      <c r="T102" s="122"/>
      <c r="U102" s="122"/>
      <c r="V102" s="121"/>
      <c r="W102" s="122"/>
      <c r="X102" s="121"/>
      <c r="Y102" s="122"/>
      <c r="Z102" s="122"/>
      <c r="AA102" s="121"/>
      <c r="AB102" s="25"/>
      <c r="AC102" s="25"/>
      <c r="AD102" s="121"/>
      <c r="AE102" s="121"/>
      <c r="AF102" s="22">
        <f t="shared" si="17"/>
        <v>0</v>
      </c>
      <c r="AG102" s="15">
        <f t="shared" si="10"/>
        <v>0</v>
      </c>
      <c r="AH102" s="7">
        <f t="shared" si="11"/>
        <v>0</v>
      </c>
      <c r="AI102" s="7">
        <f t="shared" si="12"/>
        <v>0</v>
      </c>
      <c r="AJ102" s="7">
        <f t="shared" si="13"/>
        <v>0</v>
      </c>
      <c r="AK102" s="12">
        <f t="shared" si="14"/>
        <v>0</v>
      </c>
      <c r="AL102" s="14">
        <f t="shared" si="16"/>
        <v>0</v>
      </c>
      <c r="AM102" s="16" t="str">
        <f t="shared" si="15"/>
        <v>Passable</v>
      </c>
      <c r="AN102" s="121"/>
      <c r="AO102" s="122"/>
      <c r="AP102" s="25" t="s">
        <v>283</v>
      </c>
    </row>
    <row r="103" spans="1:42" ht="30" x14ac:dyDescent="0.25">
      <c r="A103" s="82">
        <v>44440</v>
      </c>
      <c r="B103" s="76"/>
      <c r="C103" s="25">
        <v>14000507</v>
      </c>
      <c r="D103" s="116" t="s">
        <v>170</v>
      </c>
      <c r="E103" s="77">
        <v>9</v>
      </c>
      <c r="F103" s="78">
        <v>593237.31496403599</v>
      </c>
      <c r="G103" s="79">
        <v>6009679.1759591997</v>
      </c>
      <c r="H103" s="77" t="s">
        <v>118</v>
      </c>
      <c r="I103" s="77" t="s">
        <v>270</v>
      </c>
      <c r="J103" s="80">
        <v>13</v>
      </c>
      <c r="K103" s="77" t="s">
        <v>381</v>
      </c>
      <c r="L103" s="25" t="s">
        <v>99</v>
      </c>
      <c r="M103" s="25" t="s">
        <v>100</v>
      </c>
      <c r="N103" s="114">
        <v>1.5</v>
      </c>
      <c r="O103" s="114">
        <v>24</v>
      </c>
      <c r="P103" s="116" t="s">
        <v>101</v>
      </c>
      <c r="Q103" s="122"/>
      <c r="R103" s="116" t="s">
        <v>101</v>
      </c>
      <c r="S103" s="116" t="s">
        <v>101</v>
      </c>
      <c r="T103" s="122"/>
      <c r="U103" s="114">
        <v>1</v>
      </c>
      <c r="V103" s="116">
        <v>0</v>
      </c>
      <c r="W103" s="114">
        <v>0.15</v>
      </c>
      <c r="X103" s="116" t="s">
        <v>101</v>
      </c>
      <c r="Y103" s="114">
        <v>5</v>
      </c>
      <c r="Z103" s="114">
        <v>1.8</v>
      </c>
      <c r="AA103" s="116">
        <v>7</v>
      </c>
      <c r="AB103" s="25" t="s">
        <v>101</v>
      </c>
      <c r="AC103" s="25" t="s">
        <v>101</v>
      </c>
      <c r="AD103" s="116" t="s">
        <v>102</v>
      </c>
      <c r="AE103" s="116" t="s">
        <v>110</v>
      </c>
      <c r="AF103" s="22">
        <f t="shared" si="17"/>
        <v>1.2</v>
      </c>
      <c r="AG103" s="15">
        <f t="shared" si="10"/>
        <v>3</v>
      </c>
      <c r="AH103" s="7">
        <f t="shared" si="11"/>
        <v>10</v>
      </c>
      <c r="AI103" s="7">
        <f t="shared" si="12"/>
        <v>0</v>
      </c>
      <c r="AJ103" s="7">
        <f t="shared" si="13"/>
        <v>10</v>
      </c>
      <c r="AK103" s="12">
        <f t="shared" si="14"/>
        <v>3</v>
      </c>
      <c r="AL103" s="14">
        <f t="shared" si="16"/>
        <v>26</v>
      </c>
      <c r="AM103" s="16" t="str">
        <f t="shared" si="15"/>
        <v>Barrier</v>
      </c>
      <c r="AN103" s="116" t="s">
        <v>398</v>
      </c>
      <c r="AO103" s="114">
        <v>3</v>
      </c>
      <c r="AP103" s="25" t="s">
        <v>284</v>
      </c>
    </row>
    <row r="104" spans="1:42" ht="30" x14ac:dyDescent="0.25">
      <c r="A104" s="82">
        <v>44440</v>
      </c>
      <c r="B104" s="76"/>
      <c r="C104" s="25">
        <v>14001125</v>
      </c>
      <c r="D104" s="116" t="s">
        <v>170</v>
      </c>
      <c r="E104" s="77">
        <v>9</v>
      </c>
      <c r="F104" s="78">
        <v>598080.77950833796</v>
      </c>
      <c r="G104" s="79">
        <v>6016791.0286150901</v>
      </c>
      <c r="H104" s="77" t="s">
        <v>118</v>
      </c>
      <c r="I104" s="77" t="s">
        <v>270</v>
      </c>
      <c r="J104" s="80"/>
      <c r="K104" s="77" t="s">
        <v>382</v>
      </c>
      <c r="L104" s="25" t="s">
        <v>95</v>
      </c>
      <c r="M104" s="25" t="s">
        <v>96</v>
      </c>
      <c r="N104" s="114">
        <v>35</v>
      </c>
      <c r="O104" s="114">
        <v>6</v>
      </c>
      <c r="P104" s="121"/>
      <c r="Q104" s="122"/>
      <c r="R104" s="121"/>
      <c r="S104" s="121"/>
      <c r="T104" s="122"/>
      <c r="U104" s="122"/>
      <c r="V104" s="121"/>
      <c r="W104" s="122"/>
      <c r="X104" s="121"/>
      <c r="Y104" s="122"/>
      <c r="Z104" s="122"/>
      <c r="AA104" s="121"/>
      <c r="AB104" s="25"/>
      <c r="AC104" s="25"/>
      <c r="AD104" s="121"/>
      <c r="AE104" s="121"/>
      <c r="AF104" s="22">
        <f t="shared" si="17"/>
        <v>0</v>
      </c>
      <c r="AG104" s="15">
        <f t="shared" si="10"/>
        <v>0</v>
      </c>
      <c r="AH104" s="7">
        <f t="shared" si="11"/>
        <v>0</v>
      </c>
      <c r="AI104" s="7">
        <f t="shared" si="12"/>
        <v>0</v>
      </c>
      <c r="AJ104" s="7">
        <f t="shared" si="13"/>
        <v>0</v>
      </c>
      <c r="AK104" s="12">
        <f t="shared" si="14"/>
        <v>0</v>
      </c>
      <c r="AL104" s="14">
        <f t="shared" si="16"/>
        <v>0</v>
      </c>
      <c r="AM104" s="16" t="str">
        <f t="shared" si="15"/>
        <v>Passable</v>
      </c>
      <c r="AN104" s="121"/>
      <c r="AO104" s="122"/>
      <c r="AP104" s="25" t="s">
        <v>285</v>
      </c>
    </row>
    <row r="105" spans="1:42" ht="30" x14ac:dyDescent="0.25">
      <c r="A105" s="82">
        <v>44441</v>
      </c>
      <c r="B105" s="76"/>
      <c r="C105" s="25">
        <v>14001161</v>
      </c>
      <c r="D105" s="116" t="s">
        <v>125</v>
      </c>
      <c r="E105" s="77">
        <v>9</v>
      </c>
      <c r="F105" s="78">
        <v>605511.01920977596</v>
      </c>
      <c r="G105" s="79">
        <v>5992667.03867264</v>
      </c>
      <c r="H105" s="77" t="s">
        <v>169</v>
      </c>
      <c r="I105" s="77" t="s">
        <v>286</v>
      </c>
      <c r="J105" s="80"/>
      <c r="K105" s="77" t="s">
        <v>378</v>
      </c>
      <c r="L105" s="25" t="s">
        <v>99</v>
      </c>
      <c r="M105" s="25" t="s">
        <v>120</v>
      </c>
      <c r="N105" s="114">
        <v>3.9</v>
      </c>
      <c r="O105" s="114">
        <v>16</v>
      </c>
      <c r="P105" s="116" t="s">
        <v>101</v>
      </c>
      <c r="Q105" s="122"/>
      <c r="R105" s="116" t="s">
        <v>101</v>
      </c>
      <c r="S105" s="116" t="s">
        <v>101</v>
      </c>
      <c r="T105" s="122"/>
      <c r="U105" s="114">
        <v>0.8</v>
      </c>
      <c r="V105" s="116">
        <v>0.05</v>
      </c>
      <c r="W105" s="114">
        <v>0.8</v>
      </c>
      <c r="X105" s="116" t="s">
        <v>101</v>
      </c>
      <c r="Y105" s="114">
        <v>0.52</v>
      </c>
      <c r="Z105" s="114">
        <v>9</v>
      </c>
      <c r="AA105" s="116">
        <v>2</v>
      </c>
      <c r="AB105" s="25" t="s">
        <v>101</v>
      </c>
      <c r="AC105" s="25" t="s">
        <v>101</v>
      </c>
      <c r="AD105" s="116" t="s">
        <v>102</v>
      </c>
      <c r="AE105" s="116" t="s">
        <v>139</v>
      </c>
      <c r="AF105" s="22">
        <f t="shared" si="17"/>
        <v>2.3076923076923079</v>
      </c>
      <c r="AG105" s="15">
        <f t="shared" si="10"/>
        <v>3</v>
      </c>
      <c r="AH105" s="7">
        <f t="shared" si="11"/>
        <v>10</v>
      </c>
      <c r="AI105" s="7">
        <f t="shared" si="12"/>
        <v>0</v>
      </c>
      <c r="AJ105" s="7">
        <f t="shared" si="13"/>
        <v>0</v>
      </c>
      <c r="AK105" s="12">
        <f t="shared" si="14"/>
        <v>6</v>
      </c>
      <c r="AL105" s="14">
        <f t="shared" si="16"/>
        <v>19</v>
      </c>
      <c r="AM105" s="16" t="str">
        <f t="shared" si="15"/>
        <v>Potential</v>
      </c>
      <c r="AN105" s="116" t="s">
        <v>399</v>
      </c>
      <c r="AO105" s="114">
        <v>14</v>
      </c>
      <c r="AP105" s="25" t="s">
        <v>287</v>
      </c>
    </row>
    <row r="106" spans="1:42" ht="30" x14ac:dyDescent="0.25">
      <c r="A106" s="82">
        <v>44441</v>
      </c>
      <c r="B106" s="76"/>
      <c r="C106" s="25">
        <v>14000576</v>
      </c>
      <c r="D106" s="25" t="s">
        <v>170</v>
      </c>
      <c r="E106" s="77">
        <v>9</v>
      </c>
      <c r="F106" s="78">
        <v>602436.93505388801</v>
      </c>
      <c r="G106" s="79">
        <v>5984669.0622109296</v>
      </c>
      <c r="H106" s="77" t="s">
        <v>168</v>
      </c>
      <c r="I106" s="77" t="s">
        <v>121</v>
      </c>
      <c r="J106" s="80"/>
      <c r="K106" s="77" t="s">
        <v>369</v>
      </c>
      <c r="L106" s="25" t="s">
        <v>95</v>
      </c>
      <c r="M106" s="25" t="s">
        <v>96</v>
      </c>
      <c r="N106" s="114">
        <v>11</v>
      </c>
      <c r="O106" s="114">
        <v>5</v>
      </c>
      <c r="P106" s="121"/>
      <c r="Q106" s="122"/>
      <c r="R106" s="121"/>
      <c r="S106" s="121"/>
      <c r="T106" s="122"/>
      <c r="U106" s="122"/>
      <c r="V106" s="121"/>
      <c r="W106" s="122"/>
      <c r="X106" s="121"/>
      <c r="Y106" s="122"/>
      <c r="Z106" s="122"/>
      <c r="AA106" s="121"/>
      <c r="AB106" s="25"/>
      <c r="AC106" s="25"/>
      <c r="AD106" s="121"/>
      <c r="AE106" s="121"/>
      <c r="AF106" s="22">
        <f t="shared" si="17"/>
        <v>0</v>
      </c>
      <c r="AG106" s="15">
        <f t="shared" si="10"/>
        <v>0</v>
      </c>
      <c r="AH106" s="7">
        <f t="shared" si="11"/>
        <v>0</v>
      </c>
      <c r="AI106" s="7">
        <f t="shared" si="12"/>
        <v>0</v>
      </c>
      <c r="AJ106" s="7">
        <f t="shared" si="13"/>
        <v>0</v>
      </c>
      <c r="AK106" s="12">
        <f t="shared" si="14"/>
        <v>0</v>
      </c>
      <c r="AL106" s="14">
        <f t="shared" si="16"/>
        <v>0</v>
      </c>
      <c r="AM106" s="16" t="str">
        <f t="shared" si="15"/>
        <v>Passable</v>
      </c>
      <c r="AN106" s="121"/>
      <c r="AO106" s="122"/>
      <c r="AP106" s="25" t="s">
        <v>288</v>
      </c>
    </row>
    <row r="107" spans="1:42" ht="30" x14ac:dyDescent="0.25">
      <c r="A107" s="82">
        <v>44441</v>
      </c>
      <c r="B107" s="76"/>
      <c r="C107" s="25">
        <v>14001009</v>
      </c>
      <c r="D107" s="116" t="s">
        <v>170</v>
      </c>
      <c r="E107" s="77">
        <v>9</v>
      </c>
      <c r="F107" s="78">
        <v>602775.80000000005</v>
      </c>
      <c r="G107" s="79">
        <v>5984983.3899999997</v>
      </c>
      <c r="H107" s="77" t="s">
        <v>168</v>
      </c>
      <c r="I107" s="77" t="s">
        <v>289</v>
      </c>
      <c r="J107" s="80"/>
      <c r="K107" s="77" t="s">
        <v>369</v>
      </c>
      <c r="L107" s="25" t="s">
        <v>99</v>
      </c>
      <c r="M107" s="25" t="s">
        <v>100</v>
      </c>
      <c r="N107" s="114">
        <v>1</v>
      </c>
      <c r="O107" s="114">
        <v>16</v>
      </c>
      <c r="P107" s="116" t="s">
        <v>101</v>
      </c>
      <c r="Q107" s="122"/>
      <c r="R107" s="116" t="s">
        <v>101</v>
      </c>
      <c r="S107" s="116" t="s">
        <v>101</v>
      </c>
      <c r="T107" s="122"/>
      <c r="U107" s="114">
        <v>1</v>
      </c>
      <c r="V107" s="116">
        <v>0</v>
      </c>
      <c r="W107" s="114">
        <v>0.22</v>
      </c>
      <c r="X107" s="116" t="s">
        <v>104</v>
      </c>
      <c r="Y107" s="114">
        <v>5</v>
      </c>
      <c r="Z107" s="114">
        <v>0.5</v>
      </c>
      <c r="AA107" s="116">
        <v>8</v>
      </c>
      <c r="AB107" s="25" t="s">
        <v>101</v>
      </c>
      <c r="AC107" s="25" t="s">
        <v>101</v>
      </c>
      <c r="AD107" s="116" t="s">
        <v>102</v>
      </c>
      <c r="AE107" s="116" t="s">
        <v>103</v>
      </c>
      <c r="AF107" s="22">
        <f t="shared" si="17"/>
        <v>0.5</v>
      </c>
      <c r="AG107" s="15">
        <f t="shared" si="10"/>
        <v>3</v>
      </c>
      <c r="AH107" s="7">
        <f t="shared" si="11"/>
        <v>10</v>
      </c>
      <c r="AI107" s="7">
        <f t="shared" si="12"/>
        <v>0</v>
      </c>
      <c r="AJ107" s="7">
        <f t="shared" si="13"/>
        <v>10</v>
      </c>
      <c r="AK107" s="12">
        <f t="shared" si="14"/>
        <v>0</v>
      </c>
      <c r="AL107" s="14">
        <f t="shared" si="16"/>
        <v>23</v>
      </c>
      <c r="AM107" s="16" t="str">
        <f t="shared" si="15"/>
        <v>Barrier</v>
      </c>
      <c r="AN107" s="125" t="s">
        <v>398</v>
      </c>
      <c r="AO107" s="114">
        <v>3</v>
      </c>
      <c r="AP107" s="25" t="s">
        <v>536</v>
      </c>
    </row>
    <row r="108" spans="1:42" ht="30" x14ac:dyDescent="0.25">
      <c r="A108" s="82">
        <v>44441</v>
      </c>
      <c r="B108" s="76"/>
      <c r="C108" s="25">
        <v>14000582</v>
      </c>
      <c r="D108" s="116" t="s">
        <v>170</v>
      </c>
      <c r="E108" s="77">
        <v>9</v>
      </c>
      <c r="F108" s="78">
        <v>601366.59</v>
      </c>
      <c r="G108" s="79">
        <v>5986579.6200000001</v>
      </c>
      <c r="H108" s="77" t="s">
        <v>168</v>
      </c>
      <c r="I108" s="77" t="s">
        <v>286</v>
      </c>
      <c r="J108" s="80"/>
      <c r="K108" s="77" t="s">
        <v>369</v>
      </c>
      <c r="L108" s="25" t="s">
        <v>99</v>
      </c>
      <c r="M108" s="25" t="s">
        <v>100</v>
      </c>
      <c r="N108" s="114">
        <v>0.6</v>
      </c>
      <c r="O108" s="114">
        <v>20</v>
      </c>
      <c r="P108" s="116" t="s">
        <v>101</v>
      </c>
      <c r="Q108" s="122"/>
      <c r="R108" s="116" t="s">
        <v>101</v>
      </c>
      <c r="S108" s="116" t="s">
        <v>101</v>
      </c>
      <c r="T108" s="122"/>
      <c r="U108" s="114">
        <v>1</v>
      </c>
      <c r="V108" s="116">
        <v>0.1</v>
      </c>
      <c r="W108" s="114">
        <v>0.2</v>
      </c>
      <c r="X108" s="116" t="s">
        <v>101</v>
      </c>
      <c r="Y108" s="114">
        <v>5</v>
      </c>
      <c r="Z108" s="114">
        <v>0.5</v>
      </c>
      <c r="AA108" s="116">
        <v>5</v>
      </c>
      <c r="AB108" s="25" t="s">
        <v>101</v>
      </c>
      <c r="AC108" s="25" t="s">
        <v>101</v>
      </c>
      <c r="AD108" s="116" t="s">
        <v>102</v>
      </c>
      <c r="AE108" s="116" t="s">
        <v>103</v>
      </c>
      <c r="AF108" s="22">
        <f t="shared" si="17"/>
        <v>0.83333333333333337</v>
      </c>
      <c r="AG108" s="15">
        <f t="shared" si="10"/>
        <v>3</v>
      </c>
      <c r="AH108" s="7">
        <f t="shared" si="11"/>
        <v>10</v>
      </c>
      <c r="AI108" s="7">
        <f t="shared" si="12"/>
        <v>0</v>
      </c>
      <c r="AJ108" s="7">
        <f t="shared" si="13"/>
        <v>10</v>
      </c>
      <c r="AK108" s="12">
        <f t="shared" si="14"/>
        <v>0</v>
      </c>
      <c r="AL108" s="14">
        <f t="shared" si="16"/>
        <v>23</v>
      </c>
      <c r="AM108" s="16" t="str">
        <f t="shared" si="15"/>
        <v>Barrier</v>
      </c>
      <c r="AN108" s="116" t="s">
        <v>398</v>
      </c>
      <c r="AO108" s="114">
        <v>3</v>
      </c>
      <c r="AP108" s="25" t="s">
        <v>290</v>
      </c>
    </row>
    <row r="109" spans="1:42" ht="30" x14ac:dyDescent="0.25">
      <c r="A109" s="82">
        <v>44441</v>
      </c>
      <c r="B109" s="76"/>
      <c r="C109" s="25">
        <v>14001163</v>
      </c>
      <c r="D109" s="116" t="s">
        <v>170</v>
      </c>
      <c r="E109" s="77">
        <v>9</v>
      </c>
      <c r="F109" s="78">
        <v>603639.995218914</v>
      </c>
      <c r="G109" s="79">
        <v>5988349.0459813196</v>
      </c>
      <c r="H109" s="77" t="s">
        <v>168</v>
      </c>
      <c r="I109" s="77" t="s">
        <v>286</v>
      </c>
      <c r="J109" s="80"/>
      <c r="K109" s="77" t="s">
        <v>378</v>
      </c>
      <c r="L109" s="25" t="s">
        <v>95</v>
      </c>
      <c r="M109" s="25" t="s">
        <v>96</v>
      </c>
      <c r="N109" s="114">
        <v>17</v>
      </c>
      <c r="O109" s="114">
        <v>6</v>
      </c>
      <c r="P109" s="121"/>
      <c r="Q109" s="122"/>
      <c r="R109" s="121"/>
      <c r="S109" s="121"/>
      <c r="T109" s="122"/>
      <c r="U109" s="122"/>
      <c r="V109" s="121"/>
      <c r="W109" s="122"/>
      <c r="X109" s="121"/>
      <c r="Y109" s="122"/>
      <c r="Z109" s="122"/>
      <c r="AA109" s="121"/>
      <c r="AB109" s="25"/>
      <c r="AC109" s="25"/>
      <c r="AD109" s="121"/>
      <c r="AE109" s="121"/>
      <c r="AF109" s="22">
        <f t="shared" si="17"/>
        <v>0</v>
      </c>
      <c r="AG109" s="15">
        <f t="shared" si="10"/>
        <v>0</v>
      </c>
      <c r="AH109" s="7">
        <f t="shared" si="11"/>
        <v>0</v>
      </c>
      <c r="AI109" s="7">
        <f t="shared" si="12"/>
        <v>0</v>
      </c>
      <c r="AJ109" s="7">
        <f t="shared" si="13"/>
        <v>0</v>
      </c>
      <c r="AK109" s="12">
        <f t="shared" si="14"/>
        <v>0</v>
      </c>
      <c r="AL109" s="14">
        <f t="shared" si="16"/>
        <v>0</v>
      </c>
      <c r="AM109" s="16" t="str">
        <f t="shared" si="15"/>
        <v>Passable</v>
      </c>
      <c r="AN109" s="121"/>
      <c r="AO109" s="122"/>
      <c r="AP109" s="25" t="s">
        <v>291</v>
      </c>
    </row>
    <row r="110" spans="1:42" ht="30" x14ac:dyDescent="0.25">
      <c r="A110" s="82">
        <v>44441</v>
      </c>
      <c r="B110" s="76"/>
      <c r="C110" s="25">
        <v>14001078</v>
      </c>
      <c r="D110" s="116" t="s">
        <v>170</v>
      </c>
      <c r="E110" s="77">
        <v>9</v>
      </c>
      <c r="F110" s="78">
        <v>605308.02552779904</v>
      </c>
      <c r="G110" s="79">
        <v>5987253.9612141196</v>
      </c>
      <c r="H110" s="77" t="s">
        <v>168</v>
      </c>
      <c r="I110" s="77" t="s">
        <v>121</v>
      </c>
      <c r="J110" s="80"/>
      <c r="K110" s="77" t="s">
        <v>369</v>
      </c>
      <c r="L110" s="25" t="s">
        <v>99</v>
      </c>
      <c r="M110" s="25" t="s">
        <v>100</v>
      </c>
      <c r="N110" s="114">
        <v>1.2</v>
      </c>
      <c r="O110" s="114">
        <v>10</v>
      </c>
      <c r="P110" s="116" t="s">
        <v>101</v>
      </c>
      <c r="Q110" s="122"/>
      <c r="R110" s="116" t="s">
        <v>101</v>
      </c>
      <c r="S110" s="116" t="s">
        <v>101</v>
      </c>
      <c r="T110" s="122"/>
      <c r="U110" s="114">
        <v>0.5</v>
      </c>
      <c r="V110" s="116">
        <v>0</v>
      </c>
      <c r="W110" s="114">
        <v>0</v>
      </c>
      <c r="X110" s="116" t="s">
        <v>104</v>
      </c>
      <c r="Y110" s="114">
        <v>3</v>
      </c>
      <c r="Z110" s="114">
        <v>0.8</v>
      </c>
      <c r="AA110" s="116">
        <v>4</v>
      </c>
      <c r="AB110" s="25" t="s">
        <v>101</v>
      </c>
      <c r="AC110" s="25" t="s">
        <v>101</v>
      </c>
      <c r="AD110" s="116" t="s">
        <v>102</v>
      </c>
      <c r="AE110" s="116" t="s">
        <v>103</v>
      </c>
      <c r="AF110" s="22">
        <f t="shared" si="17"/>
        <v>0.66666666666666674</v>
      </c>
      <c r="AG110" s="15">
        <f t="shared" si="10"/>
        <v>0</v>
      </c>
      <c r="AH110" s="7">
        <f t="shared" si="11"/>
        <v>10</v>
      </c>
      <c r="AI110" s="7">
        <f t="shared" si="12"/>
        <v>0</v>
      </c>
      <c r="AJ110" s="7">
        <f t="shared" si="13"/>
        <v>10</v>
      </c>
      <c r="AK110" s="12">
        <f t="shared" si="14"/>
        <v>0</v>
      </c>
      <c r="AL110" s="14">
        <f t="shared" si="16"/>
        <v>20</v>
      </c>
      <c r="AM110" s="16" t="str">
        <f t="shared" si="15"/>
        <v>Barrier</v>
      </c>
      <c r="AN110" s="116" t="s">
        <v>398</v>
      </c>
      <c r="AO110" s="114">
        <v>3</v>
      </c>
      <c r="AP110" s="25" t="s">
        <v>292</v>
      </c>
    </row>
    <row r="111" spans="1:42" ht="30" x14ac:dyDescent="0.25">
      <c r="A111" s="82">
        <v>44441</v>
      </c>
      <c r="B111" s="76"/>
      <c r="C111" s="25">
        <v>14001080</v>
      </c>
      <c r="D111" s="116" t="s">
        <v>170</v>
      </c>
      <c r="E111" s="77">
        <v>9</v>
      </c>
      <c r="F111" s="78">
        <v>605496.69999999995</v>
      </c>
      <c r="G111" s="79">
        <v>5986869.8399999999</v>
      </c>
      <c r="H111" s="77" t="s">
        <v>168</v>
      </c>
      <c r="I111" s="77" t="s">
        <v>121</v>
      </c>
      <c r="J111" s="80"/>
      <c r="K111" s="77" t="s">
        <v>366</v>
      </c>
      <c r="L111" s="25" t="s">
        <v>95</v>
      </c>
      <c r="M111" s="25" t="s">
        <v>96</v>
      </c>
      <c r="N111" s="114">
        <v>10</v>
      </c>
      <c r="O111" s="114">
        <v>5</v>
      </c>
      <c r="P111" s="121"/>
      <c r="Q111" s="122"/>
      <c r="R111" s="121"/>
      <c r="S111" s="121"/>
      <c r="T111" s="122"/>
      <c r="U111" s="122"/>
      <c r="V111" s="121"/>
      <c r="W111" s="122"/>
      <c r="X111" s="121"/>
      <c r="Y111" s="122"/>
      <c r="Z111" s="122"/>
      <c r="AA111" s="121"/>
      <c r="AB111" s="25"/>
      <c r="AC111" s="25"/>
      <c r="AD111" s="121"/>
      <c r="AE111" s="121"/>
      <c r="AF111" s="22">
        <f t="shared" si="17"/>
        <v>0</v>
      </c>
      <c r="AG111" s="15">
        <f t="shared" si="10"/>
        <v>0</v>
      </c>
      <c r="AH111" s="7">
        <f t="shared" si="11"/>
        <v>0</v>
      </c>
      <c r="AI111" s="7">
        <f t="shared" si="12"/>
        <v>0</v>
      </c>
      <c r="AJ111" s="7">
        <f t="shared" si="13"/>
        <v>0</v>
      </c>
      <c r="AK111" s="12">
        <f t="shared" si="14"/>
        <v>0</v>
      </c>
      <c r="AL111" s="14">
        <f t="shared" si="16"/>
        <v>0</v>
      </c>
      <c r="AM111" s="16" t="str">
        <f t="shared" si="15"/>
        <v>Passable</v>
      </c>
      <c r="AN111" s="121"/>
      <c r="AO111" s="122"/>
      <c r="AP111" s="25" t="s">
        <v>293</v>
      </c>
    </row>
    <row r="112" spans="1:42" ht="30" x14ac:dyDescent="0.25">
      <c r="A112" s="82">
        <v>44441</v>
      </c>
      <c r="B112" s="76"/>
      <c r="C112" s="25">
        <v>14001077</v>
      </c>
      <c r="D112" s="116" t="s">
        <v>170</v>
      </c>
      <c r="E112" s="77">
        <v>9</v>
      </c>
      <c r="F112" s="78">
        <v>605388.96580622694</v>
      </c>
      <c r="G112" s="79">
        <v>5986594.8985871496</v>
      </c>
      <c r="H112" s="77" t="s">
        <v>168</v>
      </c>
      <c r="I112" s="77" t="s">
        <v>121</v>
      </c>
      <c r="J112" s="80"/>
      <c r="K112" s="77" t="s">
        <v>369</v>
      </c>
      <c r="L112" s="25" t="s">
        <v>99</v>
      </c>
      <c r="M112" s="25" t="s">
        <v>100</v>
      </c>
      <c r="N112" s="114">
        <v>0.6</v>
      </c>
      <c r="O112" s="114">
        <v>10</v>
      </c>
      <c r="P112" s="116" t="s">
        <v>104</v>
      </c>
      <c r="Q112" s="114">
        <v>0.2</v>
      </c>
      <c r="R112" s="116" t="s">
        <v>101</v>
      </c>
      <c r="S112" s="116" t="s">
        <v>101</v>
      </c>
      <c r="T112" s="122"/>
      <c r="U112" s="114">
        <v>0.5</v>
      </c>
      <c r="V112" s="116">
        <v>0.1</v>
      </c>
      <c r="W112" s="114">
        <v>0.15</v>
      </c>
      <c r="X112" s="116" t="s">
        <v>101</v>
      </c>
      <c r="Y112" s="114">
        <v>4</v>
      </c>
      <c r="Z112" s="114">
        <v>1</v>
      </c>
      <c r="AA112" s="116">
        <v>7</v>
      </c>
      <c r="AB112" s="25" t="s">
        <v>101</v>
      </c>
      <c r="AC112" s="25" t="s">
        <v>101</v>
      </c>
      <c r="AD112" s="116" t="s">
        <v>102</v>
      </c>
      <c r="AE112" s="116" t="s">
        <v>103</v>
      </c>
      <c r="AF112" s="22">
        <f t="shared" si="17"/>
        <v>1.6666666666666667</v>
      </c>
      <c r="AG112" s="15">
        <f t="shared" si="10"/>
        <v>0</v>
      </c>
      <c r="AH112" s="7">
        <f t="shared" si="11"/>
        <v>5</v>
      </c>
      <c r="AI112" s="7">
        <f t="shared" si="12"/>
        <v>0</v>
      </c>
      <c r="AJ112" s="7">
        <f t="shared" si="13"/>
        <v>10</v>
      </c>
      <c r="AK112" s="12">
        <f t="shared" si="14"/>
        <v>6</v>
      </c>
      <c r="AL112" s="14">
        <f t="shared" si="16"/>
        <v>21</v>
      </c>
      <c r="AM112" s="16" t="str">
        <f t="shared" si="15"/>
        <v>Barrier</v>
      </c>
      <c r="AN112" s="116" t="s">
        <v>398</v>
      </c>
      <c r="AO112" s="114">
        <v>3</v>
      </c>
      <c r="AP112" s="25" t="s">
        <v>537</v>
      </c>
    </row>
    <row r="113" spans="1:42" ht="30" x14ac:dyDescent="0.25">
      <c r="A113" s="82">
        <v>44441</v>
      </c>
      <c r="B113" s="76"/>
      <c r="C113" s="25">
        <v>14000865</v>
      </c>
      <c r="D113" s="116" t="s">
        <v>170</v>
      </c>
      <c r="E113" s="77">
        <v>9</v>
      </c>
      <c r="F113" s="78">
        <v>606426.18000000005</v>
      </c>
      <c r="G113" s="79">
        <v>5986782</v>
      </c>
      <c r="H113" s="77" t="s">
        <v>168</v>
      </c>
      <c r="I113" s="77" t="s">
        <v>121</v>
      </c>
      <c r="J113" s="80"/>
      <c r="K113" s="77" t="s">
        <v>370</v>
      </c>
      <c r="L113" s="25" t="s">
        <v>99</v>
      </c>
      <c r="M113" s="25" t="s">
        <v>100</v>
      </c>
      <c r="N113" s="114">
        <v>0.9</v>
      </c>
      <c r="O113" s="114">
        <v>11</v>
      </c>
      <c r="P113" s="116" t="s">
        <v>101</v>
      </c>
      <c r="Q113" s="122"/>
      <c r="R113" s="116" t="s">
        <v>101</v>
      </c>
      <c r="S113" s="116" t="s">
        <v>101</v>
      </c>
      <c r="T113" s="122"/>
      <c r="U113" s="114">
        <v>0.2</v>
      </c>
      <c r="V113" s="116">
        <v>0.18</v>
      </c>
      <c r="W113" s="114">
        <v>0.6</v>
      </c>
      <c r="X113" s="116" t="s">
        <v>104</v>
      </c>
      <c r="Y113" s="114">
        <v>6</v>
      </c>
      <c r="Z113" s="114">
        <v>1.8</v>
      </c>
      <c r="AA113" s="116">
        <v>7</v>
      </c>
      <c r="AB113" s="25" t="s">
        <v>101</v>
      </c>
      <c r="AC113" s="25" t="s">
        <v>101</v>
      </c>
      <c r="AD113" s="116" t="s">
        <v>102</v>
      </c>
      <c r="AE113" s="116" t="s">
        <v>110</v>
      </c>
      <c r="AF113" s="22">
        <f t="shared" si="17"/>
        <v>2</v>
      </c>
      <c r="AG113" s="15">
        <f t="shared" si="10"/>
        <v>0</v>
      </c>
      <c r="AH113" s="7">
        <f t="shared" si="11"/>
        <v>10</v>
      </c>
      <c r="AI113" s="7">
        <f t="shared" si="12"/>
        <v>5</v>
      </c>
      <c r="AJ113" s="7">
        <f t="shared" si="13"/>
        <v>10</v>
      </c>
      <c r="AK113" s="12">
        <f t="shared" si="14"/>
        <v>6</v>
      </c>
      <c r="AL113" s="14">
        <f t="shared" si="16"/>
        <v>31</v>
      </c>
      <c r="AM113" s="16" t="str">
        <f t="shared" si="15"/>
        <v>Barrier</v>
      </c>
      <c r="AN113" s="116" t="s">
        <v>398</v>
      </c>
      <c r="AO113" s="114">
        <v>3</v>
      </c>
      <c r="AP113" s="25" t="s">
        <v>294</v>
      </c>
    </row>
    <row r="114" spans="1:42" ht="30" x14ac:dyDescent="0.25">
      <c r="A114" s="82">
        <v>44441</v>
      </c>
      <c r="B114" s="76"/>
      <c r="C114" s="25">
        <v>14000535</v>
      </c>
      <c r="D114" s="116" t="s">
        <v>170</v>
      </c>
      <c r="E114" s="77">
        <v>9</v>
      </c>
      <c r="F114" s="78">
        <v>599263.69345729204</v>
      </c>
      <c r="G114" s="79">
        <v>5984698.5135204904</v>
      </c>
      <c r="H114" s="77" t="s">
        <v>168</v>
      </c>
      <c r="I114" s="77" t="s">
        <v>295</v>
      </c>
      <c r="J114" s="80"/>
      <c r="K114" s="77" t="s">
        <v>371</v>
      </c>
      <c r="L114" s="25" t="s">
        <v>99</v>
      </c>
      <c r="M114" s="25" t="s">
        <v>100</v>
      </c>
      <c r="N114" s="114">
        <v>0.9</v>
      </c>
      <c r="O114" s="114">
        <v>14</v>
      </c>
      <c r="P114" s="116" t="s">
        <v>101</v>
      </c>
      <c r="Q114" s="122"/>
      <c r="R114" s="116" t="s">
        <v>101</v>
      </c>
      <c r="S114" s="116" t="s">
        <v>101</v>
      </c>
      <c r="T114" s="122"/>
      <c r="U114" s="114">
        <v>0.75</v>
      </c>
      <c r="V114" s="116">
        <v>0.8</v>
      </c>
      <c r="W114" s="114">
        <v>0.15</v>
      </c>
      <c r="X114" s="116" t="s">
        <v>101</v>
      </c>
      <c r="Y114" s="114">
        <v>5</v>
      </c>
      <c r="Z114" s="114">
        <v>1</v>
      </c>
      <c r="AA114" s="116">
        <v>8</v>
      </c>
      <c r="AB114" s="25" t="s">
        <v>101</v>
      </c>
      <c r="AC114" s="25" t="s">
        <v>101</v>
      </c>
      <c r="AD114" s="116"/>
      <c r="AE114" s="116" t="s">
        <v>103</v>
      </c>
      <c r="AF114" s="22">
        <f t="shared" si="17"/>
        <v>1.1111111111111112</v>
      </c>
      <c r="AG114" s="15">
        <f t="shared" si="10"/>
        <v>0</v>
      </c>
      <c r="AH114" s="7">
        <f t="shared" si="11"/>
        <v>10</v>
      </c>
      <c r="AI114" s="7">
        <f t="shared" si="12"/>
        <v>10</v>
      </c>
      <c r="AJ114" s="7">
        <f t="shared" si="13"/>
        <v>10</v>
      </c>
      <c r="AK114" s="12">
        <f t="shared" si="14"/>
        <v>3</v>
      </c>
      <c r="AL114" s="14">
        <f t="shared" si="16"/>
        <v>33</v>
      </c>
      <c r="AM114" s="16" t="str">
        <f t="shared" si="15"/>
        <v>Barrier</v>
      </c>
      <c r="AN114" s="116" t="s">
        <v>398</v>
      </c>
      <c r="AO114" s="114">
        <v>3</v>
      </c>
      <c r="AP114" s="25" t="s">
        <v>296</v>
      </c>
    </row>
    <row r="115" spans="1:42" ht="30" x14ac:dyDescent="0.25">
      <c r="A115" s="82">
        <v>44441</v>
      </c>
      <c r="B115" s="76"/>
      <c r="C115" s="25">
        <v>14000450</v>
      </c>
      <c r="D115" s="116" t="s">
        <v>170</v>
      </c>
      <c r="E115" s="77">
        <v>9</v>
      </c>
      <c r="F115" s="78">
        <v>599516.30397037102</v>
      </c>
      <c r="G115" s="79">
        <v>5985581.7478253497</v>
      </c>
      <c r="H115" s="77" t="s">
        <v>168</v>
      </c>
      <c r="I115" s="77" t="s">
        <v>297</v>
      </c>
      <c r="J115" s="80"/>
      <c r="K115" s="77" t="s">
        <v>378</v>
      </c>
      <c r="L115" s="25" t="s">
        <v>95</v>
      </c>
      <c r="M115" s="25" t="s">
        <v>96</v>
      </c>
      <c r="N115" s="114">
        <v>26</v>
      </c>
      <c r="O115" s="114">
        <v>5</v>
      </c>
      <c r="P115" s="121"/>
      <c r="Q115" s="122"/>
      <c r="R115" s="121"/>
      <c r="S115" s="121"/>
      <c r="T115" s="122"/>
      <c r="U115" s="122"/>
      <c r="V115" s="121"/>
      <c r="W115" s="122"/>
      <c r="X115" s="121"/>
      <c r="Y115" s="122"/>
      <c r="Z115" s="122"/>
      <c r="AA115" s="121"/>
      <c r="AB115" s="25"/>
      <c r="AC115" s="25"/>
      <c r="AD115" s="121"/>
      <c r="AE115" s="121"/>
      <c r="AF115" s="22">
        <f t="shared" si="17"/>
        <v>0</v>
      </c>
      <c r="AG115" s="15">
        <f t="shared" si="10"/>
        <v>0</v>
      </c>
      <c r="AH115" s="7">
        <f t="shared" si="11"/>
        <v>0</v>
      </c>
      <c r="AI115" s="7">
        <f t="shared" si="12"/>
        <v>0</v>
      </c>
      <c r="AJ115" s="7">
        <f t="shared" si="13"/>
        <v>0</v>
      </c>
      <c r="AK115" s="12">
        <f t="shared" si="14"/>
        <v>0</v>
      </c>
      <c r="AL115" s="14">
        <f t="shared" si="16"/>
        <v>0</v>
      </c>
      <c r="AM115" s="16" t="str">
        <f t="shared" si="15"/>
        <v>Passable</v>
      </c>
      <c r="AN115" s="121"/>
      <c r="AO115" s="122"/>
      <c r="AP115" s="25" t="s">
        <v>298</v>
      </c>
    </row>
    <row r="116" spans="1:42" ht="30" x14ac:dyDescent="0.25">
      <c r="A116" s="82">
        <v>44441</v>
      </c>
      <c r="B116" s="76"/>
      <c r="C116" s="25">
        <v>14000443</v>
      </c>
      <c r="D116" s="116" t="s">
        <v>170</v>
      </c>
      <c r="E116" s="77">
        <v>9</v>
      </c>
      <c r="F116" s="78">
        <v>599738.18999999994</v>
      </c>
      <c r="G116" s="79">
        <v>5986408.5300000003</v>
      </c>
      <c r="H116" s="77" t="s">
        <v>168</v>
      </c>
      <c r="I116" s="77" t="s">
        <v>297</v>
      </c>
      <c r="J116" s="80">
        <v>8</v>
      </c>
      <c r="K116" s="77" t="s">
        <v>378</v>
      </c>
      <c r="L116" s="25" t="s">
        <v>99</v>
      </c>
      <c r="M116" s="25" t="s">
        <v>100</v>
      </c>
      <c r="N116" s="114">
        <v>1.6</v>
      </c>
      <c r="O116" s="114">
        <v>22</v>
      </c>
      <c r="P116" s="116" t="s">
        <v>101</v>
      </c>
      <c r="Q116" s="122"/>
      <c r="R116" s="116" t="s">
        <v>101</v>
      </c>
      <c r="S116" s="116" t="s">
        <v>101</v>
      </c>
      <c r="T116" s="122"/>
      <c r="U116" s="114">
        <v>2.5</v>
      </c>
      <c r="V116" s="116">
        <v>0.4</v>
      </c>
      <c r="W116" s="114">
        <v>0.7</v>
      </c>
      <c r="X116" s="116"/>
      <c r="Y116" s="114">
        <v>6</v>
      </c>
      <c r="Z116" s="114">
        <v>2.2000000000000002</v>
      </c>
      <c r="AA116" s="116">
        <v>7</v>
      </c>
      <c r="AB116" s="25" t="s">
        <v>101</v>
      </c>
      <c r="AC116" s="25" t="s">
        <v>101</v>
      </c>
      <c r="AD116" s="116" t="s">
        <v>102</v>
      </c>
      <c r="AE116" s="116" t="s">
        <v>103</v>
      </c>
      <c r="AF116" s="22">
        <f t="shared" si="17"/>
        <v>1.375</v>
      </c>
      <c r="AG116" s="15">
        <f t="shared" si="10"/>
        <v>3</v>
      </c>
      <c r="AH116" s="7">
        <f t="shared" si="11"/>
        <v>10</v>
      </c>
      <c r="AI116" s="7">
        <f t="shared" si="12"/>
        <v>10</v>
      </c>
      <c r="AJ116" s="7">
        <f t="shared" si="13"/>
        <v>10</v>
      </c>
      <c r="AK116" s="12">
        <f t="shared" si="14"/>
        <v>6</v>
      </c>
      <c r="AL116" s="14">
        <f t="shared" si="16"/>
        <v>39</v>
      </c>
      <c r="AM116" s="16" t="str">
        <f t="shared" si="15"/>
        <v>Barrier</v>
      </c>
      <c r="AN116" s="125" t="s">
        <v>399</v>
      </c>
      <c r="AO116" s="114">
        <v>10</v>
      </c>
      <c r="AP116" s="25" t="s">
        <v>299</v>
      </c>
    </row>
    <row r="117" spans="1:42" ht="30" x14ac:dyDescent="0.25">
      <c r="A117" s="82">
        <v>44441</v>
      </c>
      <c r="B117" s="76"/>
      <c r="C117" s="25">
        <v>14001052</v>
      </c>
      <c r="D117" s="116" t="s">
        <v>170</v>
      </c>
      <c r="E117" s="77">
        <v>9</v>
      </c>
      <c r="F117" s="78">
        <v>604443.07580964104</v>
      </c>
      <c r="G117" s="79">
        <v>5995222.0237760805</v>
      </c>
      <c r="H117" s="77" t="s">
        <v>218</v>
      </c>
      <c r="I117" s="77" t="s">
        <v>167</v>
      </c>
      <c r="J117" s="80"/>
      <c r="K117" s="77" t="s">
        <v>373</v>
      </c>
      <c r="L117" s="25" t="s">
        <v>99</v>
      </c>
      <c r="M117" s="25" t="s">
        <v>100</v>
      </c>
      <c r="N117" s="114">
        <v>1.2</v>
      </c>
      <c r="O117" s="114">
        <v>14</v>
      </c>
      <c r="P117" s="116" t="s">
        <v>101</v>
      </c>
      <c r="Q117" s="122"/>
      <c r="R117" s="116" t="s">
        <v>101</v>
      </c>
      <c r="S117" s="116" t="s">
        <v>101</v>
      </c>
      <c r="T117" s="122"/>
      <c r="U117" s="114">
        <v>0.2</v>
      </c>
      <c r="V117" s="116">
        <v>0</v>
      </c>
      <c r="W117" s="114">
        <v>0</v>
      </c>
      <c r="X117" s="116" t="s">
        <v>104</v>
      </c>
      <c r="Y117" s="114">
        <v>0.5</v>
      </c>
      <c r="Z117" s="114">
        <v>1.2</v>
      </c>
      <c r="AA117" s="116">
        <v>0.5</v>
      </c>
      <c r="AB117" s="25" t="s">
        <v>104</v>
      </c>
      <c r="AC117" s="25" t="s">
        <v>101</v>
      </c>
      <c r="AD117" s="116" t="s">
        <v>102</v>
      </c>
      <c r="AE117" s="116" t="s">
        <v>110</v>
      </c>
      <c r="AF117" s="22">
        <f t="shared" si="17"/>
        <v>1</v>
      </c>
      <c r="AG117" s="15">
        <f t="shared" si="10"/>
        <v>0</v>
      </c>
      <c r="AH117" s="7">
        <f t="shared" si="11"/>
        <v>10</v>
      </c>
      <c r="AI117" s="7">
        <f t="shared" si="12"/>
        <v>0</v>
      </c>
      <c r="AJ117" s="7">
        <f t="shared" si="13"/>
        <v>0</v>
      </c>
      <c r="AK117" s="12">
        <f t="shared" si="14"/>
        <v>3</v>
      </c>
      <c r="AL117" s="14">
        <f t="shared" si="16"/>
        <v>13</v>
      </c>
      <c r="AM117" s="16" t="str">
        <f t="shared" si="15"/>
        <v>Passable</v>
      </c>
      <c r="AN117" s="126"/>
      <c r="AO117" s="127"/>
      <c r="AP117" s="25" t="s">
        <v>407</v>
      </c>
    </row>
    <row r="118" spans="1:42" ht="30" x14ac:dyDescent="0.25">
      <c r="A118" s="82">
        <v>44441</v>
      </c>
      <c r="B118" s="76"/>
      <c r="C118" s="25">
        <v>14000777</v>
      </c>
      <c r="D118" s="116" t="s">
        <v>170</v>
      </c>
      <c r="E118" s="77">
        <v>9</v>
      </c>
      <c r="F118" s="78">
        <v>605156.99553366599</v>
      </c>
      <c r="G118" s="79">
        <v>5994783.0245900601</v>
      </c>
      <c r="H118" s="77" t="s">
        <v>218</v>
      </c>
      <c r="I118" s="77" t="s">
        <v>167</v>
      </c>
      <c r="J118" s="80"/>
      <c r="K118" s="77" t="s">
        <v>378</v>
      </c>
      <c r="L118" s="25" t="s">
        <v>99</v>
      </c>
      <c r="M118" s="25" t="s">
        <v>100</v>
      </c>
      <c r="N118" s="114">
        <v>0.7</v>
      </c>
      <c r="O118" s="114">
        <v>13</v>
      </c>
      <c r="P118" s="116" t="s">
        <v>101</v>
      </c>
      <c r="Q118" s="122"/>
      <c r="R118" s="116" t="s">
        <v>104</v>
      </c>
      <c r="S118" s="116" t="s">
        <v>104</v>
      </c>
      <c r="T118" s="114">
        <v>100</v>
      </c>
      <c r="U118" s="114">
        <v>0.5</v>
      </c>
      <c r="V118" s="116">
        <v>0</v>
      </c>
      <c r="W118" s="114">
        <v>0</v>
      </c>
      <c r="X118" s="116" t="s">
        <v>101</v>
      </c>
      <c r="Y118" s="114">
        <v>0.5</v>
      </c>
      <c r="Z118" s="114">
        <v>0.7</v>
      </c>
      <c r="AA118" s="116">
        <v>0.5</v>
      </c>
      <c r="AB118" s="25" t="s">
        <v>101</v>
      </c>
      <c r="AC118" s="25" t="s">
        <v>101</v>
      </c>
      <c r="AD118" s="116" t="s">
        <v>102</v>
      </c>
      <c r="AE118" s="116" t="s">
        <v>110</v>
      </c>
      <c r="AF118" s="22">
        <f t="shared" si="17"/>
        <v>1</v>
      </c>
      <c r="AG118" s="15">
        <f t="shared" si="10"/>
        <v>0</v>
      </c>
      <c r="AH118" s="7">
        <f t="shared" si="11"/>
        <v>10</v>
      </c>
      <c r="AI118" s="7">
        <f t="shared" si="12"/>
        <v>0</v>
      </c>
      <c r="AJ118" s="7">
        <f t="shared" si="13"/>
        <v>0</v>
      </c>
      <c r="AK118" s="12">
        <f t="shared" si="14"/>
        <v>3</v>
      </c>
      <c r="AL118" s="14">
        <f t="shared" si="16"/>
        <v>13</v>
      </c>
      <c r="AM118" s="16" t="str">
        <f t="shared" si="15"/>
        <v>Passable</v>
      </c>
      <c r="AN118" s="121"/>
      <c r="AO118" s="122"/>
      <c r="AP118" s="25" t="s">
        <v>300</v>
      </c>
    </row>
    <row r="119" spans="1:42" ht="30" x14ac:dyDescent="0.25">
      <c r="A119" s="82">
        <v>44441</v>
      </c>
      <c r="B119" s="76"/>
      <c r="C119" s="25">
        <v>14000779</v>
      </c>
      <c r="D119" s="116" t="s">
        <v>170</v>
      </c>
      <c r="E119" s="77">
        <v>9</v>
      </c>
      <c r="F119" s="78">
        <v>605675.02020517597</v>
      </c>
      <c r="G119" s="79">
        <v>5993744.0617828397</v>
      </c>
      <c r="H119" s="77" t="s">
        <v>218</v>
      </c>
      <c r="I119" s="77" t="s">
        <v>167</v>
      </c>
      <c r="J119" s="80"/>
      <c r="K119" s="77" t="s">
        <v>378</v>
      </c>
      <c r="L119" s="25" t="s">
        <v>99</v>
      </c>
      <c r="M119" s="25" t="s">
        <v>100</v>
      </c>
      <c r="N119" s="114">
        <v>0.9</v>
      </c>
      <c r="O119" s="114">
        <v>10</v>
      </c>
      <c r="P119" s="116" t="s">
        <v>101</v>
      </c>
      <c r="Q119" s="122"/>
      <c r="R119" s="116" t="s">
        <v>104</v>
      </c>
      <c r="S119" s="116" t="s">
        <v>101</v>
      </c>
      <c r="T119" s="122"/>
      <c r="U119" s="114">
        <v>0.3</v>
      </c>
      <c r="V119" s="116">
        <v>0</v>
      </c>
      <c r="W119" s="114">
        <v>0</v>
      </c>
      <c r="X119" s="116" t="s">
        <v>101</v>
      </c>
      <c r="Y119" s="114">
        <v>0.5</v>
      </c>
      <c r="Z119" s="114">
        <v>0.9</v>
      </c>
      <c r="AA119" s="116">
        <v>0.5</v>
      </c>
      <c r="AB119" s="25" t="s">
        <v>101</v>
      </c>
      <c r="AC119" s="25" t="s">
        <v>101</v>
      </c>
      <c r="AD119" s="116" t="s">
        <v>102</v>
      </c>
      <c r="AE119" s="116" t="s">
        <v>110</v>
      </c>
      <c r="AF119" s="22">
        <f t="shared" si="17"/>
        <v>1</v>
      </c>
      <c r="AG119" s="15">
        <f t="shared" si="10"/>
        <v>0</v>
      </c>
      <c r="AH119" s="7">
        <f t="shared" si="11"/>
        <v>10</v>
      </c>
      <c r="AI119" s="7">
        <f t="shared" si="12"/>
        <v>0</v>
      </c>
      <c r="AJ119" s="7">
        <f t="shared" si="13"/>
        <v>0</v>
      </c>
      <c r="AK119" s="12">
        <f t="shared" si="14"/>
        <v>3</v>
      </c>
      <c r="AL119" s="14">
        <f t="shared" si="16"/>
        <v>13</v>
      </c>
      <c r="AM119" s="16" t="str">
        <f t="shared" si="15"/>
        <v>Passable</v>
      </c>
      <c r="AN119" s="121"/>
      <c r="AO119" s="122"/>
      <c r="AP119" s="25" t="s">
        <v>393</v>
      </c>
    </row>
    <row r="120" spans="1:42" ht="30" x14ac:dyDescent="0.25">
      <c r="A120" s="82">
        <v>44442</v>
      </c>
      <c r="B120" s="76"/>
      <c r="C120" s="25">
        <v>14000565</v>
      </c>
      <c r="D120" s="116" t="s">
        <v>170</v>
      </c>
      <c r="E120" s="77">
        <v>9</v>
      </c>
      <c r="F120" s="78">
        <v>608574.32766938803</v>
      </c>
      <c r="G120" s="79">
        <v>6022388.5130487699</v>
      </c>
      <c r="H120" s="77" t="s">
        <v>142</v>
      </c>
      <c r="I120" s="77" t="s">
        <v>173</v>
      </c>
      <c r="J120" s="80">
        <v>56.8</v>
      </c>
      <c r="K120" s="77" t="s">
        <v>374</v>
      </c>
      <c r="L120" s="25" t="s">
        <v>95</v>
      </c>
      <c r="M120" s="25" t="s">
        <v>96</v>
      </c>
      <c r="N120" s="114">
        <v>13</v>
      </c>
      <c r="O120" s="114">
        <v>4.5</v>
      </c>
      <c r="P120" s="121"/>
      <c r="Q120" s="122"/>
      <c r="R120" s="121"/>
      <c r="S120" s="121"/>
      <c r="T120" s="122"/>
      <c r="U120" s="122"/>
      <c r="V120" s="121"/>
      <c r="W120" s="122"/>
      <c r="X120" s="121"/>
      <c r="Y120" s="122"/>
      <c r="Z120" s="122"/>
      <c r="AA120" s="121"/>
      <c r="AB120" s="25"/>
      <c r="AC120" s="25"/>
      <c r="AD120" s="121"/>
      <c r="AE120" s="121"/>
      <c r="AF120" s="22">
        <f t="shared" si="17"/>
        <v>0</v>
      </c>
      <c r="AG120" s="15">
        <f t="shared" si="10"/>
        <v>0</v>
      </c>
      <c r="AH120" s="7">
        <f t="shared" si="11"/>
        <v>0</v>
      </c>
      <c r="AI120" s="7">
        <f t="shared" si="12"/>
        <v>0</v>
      </c>
      <c r="AJ120" s="7">
        <f t="shared" si="13"/>
        <v>0</v>
      </c>
      <c r="AK120" s="12">
        <f t="shared" si="14"/>
        <v>0</v>
      </c>
      <c r="AL120" s="14">
        <f t="shared" si="16"/>
        <v>0</v>
      </c>
      <c r="AM120" s="16" t="str">
        <f t="shared" si="15"/>
        <v>Passable</v>
      </c>
      <c r="AN120" s="121"/>
      <c r="AO120" s="122"/>
      <c r="AP120" s="25" t="s">
        <v>301</v>
      </c>
    </row>
    <row r="121" spans="1:42" ht="30" x14ac:dyDescent="0.25">
      <c r="A121" s="82">
        <v>44442</v>
      </c>
      <c r="B121" s="76"/>
      <c r="C121" s="25">
        <v>14000562</v>
      </c>
      <c r="D121" s="116" t="s">
        <v>170</v>
      </c>
      <c r="E121" s="77">
        <v>9</v>
      </c>
      <c r="F121" s="78">
        <v>608138.08885820396</v>
      </c>
      <c r="G121" s="79">
        <v>6020911.1990954401</v>
      </c>
      <c r="H121" s="77" t="s">
        <v>142</v>
      </c>
      <c r="I121" s="77" t="s">
        <v>173</v>
      </c>
      <c r="J121" s="80">
        <v>53</v>
      </c>
      <c r="K121" s="77" t="s">
        <v>374</v>
      </c>
      <c r="L121" s="25" t="s">
        <v>99</v>
      </c>
      <c r="M121" s="25" t="s">
        <v>100</v>
      </c>
      <c r="N121" s="114">
        <v>1.2</v>
      </c>
      <c r="O121" s="114">
        <v>25</v>
      </c>
      <c r="P121" s="116" t="s">
        <v>101</v>
      </c>
      <c r="Q121" s="122"/>
      <c r="R121" s="116" t="s">
        <v>101</v>
      </c>
      <c r="S121" s="116" t="s">
        <v>101</v>
      </c>
      <c r="T121" s="122"/>
      <c r="U121" s="114">
        <v>4.5</v>
      </c>
      <c r="V121" s="116">
        <v>0.19</v>
      </c>
      <c r="W121" s="114"/>
      <c r="X121" s="116" t="s">
        <v>104</v>
      </c>
      <c r="Y121" s="114">
        <v>5</v>
      </c>
      <c r="Z121" s="114">
        <v>1.3</v>
      </c>
      <c r="AA121" s="116">
        <v>10</v>
      </c>
      <c r="AB121" s="25" t="s">
        <v>101</v>
      </c>
      <c r="AC121" s="25" t="s">
        <v>104</v>
      </c>
      <c r="AD121" s="116" t="s">
        <v>102</v>
      </c>
      <c r="AE121" s="116" t="s">
        <v>110</v>
      </c>
      <c r="AF121" s="22">
        <f t="shared" si="17"/>
        <v>1.0833333333333335</v>
      </c>
      <c r="AG121" s="15">
        <f t="shared" si="10"/>
        <v>3</v>
      </c>
      <c r="AH121" s="7">
        <f t="shared" si="11"/>
        <v>10</v>
      </c>
      <c r="AI121" s="7">
        <f t="shared" si="12"/>
        <v>5</v>
      </c>
      <c r="AJ121" s="7">
        <f t="shared" si="13"/>
        <v>10</v>
      </c>
      <c r="AK121" s="12">
        <f t="shared" si="14"/>
        <v>3</v>
      </c>
      <c r="AL121" s="14">
        <f t="shared" si="16"/>
        <v>31</v>
      </c>
      <c r="AM121" s="16" t="str">
        <f t="shared" si="15"/>
        <v>Barrier</v>
      </c>
      <c r="AN121" s="116" t="s">
        <v>398</v>
      </c>
      <c r="AO121" s="114">
        <v>3</v>
      </c>
      <c r="AP121" s="25" t="s">
        <v>357</v>
      </c>
    </row>
    <row r="122" spans="1:42" ht="30" x14ac:dyDescent="0.25">
      <c r="A122" s="82">
        <v>44442</v>
      </c>
      <c r="B122" s="76"/>
      <c r="C122" s="25">
        <v>14000702</v>
      </c>
      <c r="D122" s="116" t="s">
        <v>170</v>
      </c>
      <c r="E122" s="77">
        <v>9</v>
      </c>
      <c r="F122" s="78">
        <v>607585</v>
      </c>
      <c r="G122" s="79">
        <v>6016381</v>
      </c>
      <c r="H122" s="77" t="s">
        <v>142</v>
      </c>
      <c r="I122" s="77" t="s">
        <v>173</v>
      </c>
      <c r="J122" s="80">
        <v>47.5</v>
      </c>
      <c r="K122" s="77" t="s">
        <v>375</v>
      </c>
      <c r="L122" s="25" t="s">
        <v>95</v>
      </c>
      <c r="M122" s="25" t="s">
        <v>96</v>
      </c>
      <c r="N122" s="114">
        <v>25</v>
      </c>
      <c r="O122" s="114">
        <v>5</v>
      </c>
      <c r="P122" s="121"/>
      <c r="Q122" s="122"/>
      <c r="R122" s="121"/>
      <c r="S122" s="121"/>
      <c r="T122" s="122"/>
      <c r="U122" s="122"/>
      <c r="V122" s="121"/>
      <c r="W122" s="122"/>
      <c r="X122" s="121"/>
      <c r="Y122" s="122"/>
      <c r="Z122" s="122"/>
      <c r="AA122" s="121"/>
      <c r="AB122" s="25"/>
      <c r="AC122" s="25"/>
      <c r="AD122" s="121"/>
      <c r="AE122" s="121"/>
      <c r="AF122" s="22">
        <f t="shared" si="17"/>
        <v>0</v>
      </c>
      <c r="AG122" s="15">
        <f t="shared" si="10"/>
        <v>0</v>
      </c>
      <c r="AH122" s="7">
        <f t="shared" si="11"/>
        <v>0</v>
      </c>
      <c r="AI122" s="7">
        <f t="shared" si="12"/>
        <v>0</v>
      </c>
      <c r="AJ122" s="7">
        <f t="shared" si="13"/>
        <v>0</v>
      </c>
      <c r="AK122" s="12">
        <f t="shared" si="14"/>
        <v>0</v>
      </c>
      <c r="AL122" s="14">
        <f t="shared" si="16"/>
        <v>0</v>
      </c>
      <c r="AM122" s="16" t="str">
        <f t="shared" si="15"/>
        <v>Passable</v>
      </c>
      <c r="AN122" s="126"/>
      <c r="AO122" s="127"/>
      <c r="AP122" s="25" t="s">
        <v>302</v>
      </c>
    </row>
    <row r="123" spans="1:42" ht="30" x14ac:dyDescent="0.25">
      <c r="A123" s="82">
        <v>44442</v>
      </c>
      <c r="B123" s="76"/>
      <c r="C123" s="25">
        <v>14000685</v>
      </c>
      <c r="D123" s="116" t="s">
        <v>170</v>
      </c>
      <c r="E123" s="77">
        <v>9</v>
      </c>
      <c r="F123" s="78">
        <v>607508.98882273003</v>
      </c>
      <c r="G123" s="79">
        <v>6013246.5823872602</v>
      </c>
      <c r="H123" s="77" t="s">
        <v>142</v>
      </c>
      <c r="I123" s="77" t="s">
        <v>173</v>
      </c>
      <c r="J123" s="80">
        <v>44</v>
      </c>
      <c r="K123" s="77" t="s">
        <v>375</v>
      </c>
      <c r="L123" s="25" t="s">
        <v>95</v>
      </c>
      <c r="M123" s="25" t="s">
        <v>96</v>
      </c>
      <c r="N123" s="114">
        <v>11</v>
      </c>
      <c r="O123" s="114">
        <v>4.5</v>
      </c>
      <c r="P123" s="121"/>
      <c r="Q123" s="122"/>
      <c r="R123" s="121"/>
      <c r="S123" s="121"/>
      <c r="T123" s="122"/>
      <c r="U123" s="122"/>
      <c r="V123" s="121"/>
      <c r="W123" s="122"/>
      <c r="X123" s="121"/>
      <c r="Y123" s="122"/>
      <c r="Z123" s="122"/>
      <c r="AA123" s="121"/>
      <c r="AB123" s="25"/>
      <c r="AC123" s="25"/>
      <c r="AD123" s="121"/>
      <c r="AE123" s="121"/>
      <c r="AF123" s="22">
        <f t="shared" si="17"/>
        <v>0</v>
      </c>
      <c r="AG123" s="15">
        <f t="shared" si="10"/>
        <v>0</v>
      </c>
      <c r="AH123" s="7">
        <f t="shared" si="11"/>
        <v>0</v>
      </c>
      <c r="AI123" s="7">
        <f t="shared" si="12"/>
        <v>0</v>
      </c>
      <c r="AJ123" s="7">
        <f t="shared" si="13"/>
        <v>0</v>
      </c>
      <c r="AK123" s="12">
        <f t="shared" si="14"/>
        <v>0</v>
      </c>
      <c r="AL123" s="14">
        <f t="shared" si="16"/>
        <v>0</v>
      </c>
      <c r="AM123" s="16" t="str">
        <f t="shared" si="15"/>
        <v>Passable</v>
      </c>
      <c r="AN123" s="121"/>
      <c r="AO123" s="122"/>
      <c r="AP123" s="25" t="s">
        <v>194</v>
      </c>
    </row>
    <row r="124" spans="1:42" ht="30" x14ac:dyDescent="0.25">
      <c r="A124" s="82">
        <v>44442</v>
      </c>
      <c r="B124" s="76"/>
      <c r="C124" s="25">
        <v>14000669</v>
      </c>
      <c r="D124" s="116" t="s">
        <v>170</v>
      </c>
      <c r="E124" s="77">
        <v>9</v>
      </c>
      <c r="F124" s="78">
        <v>607690.18156595703</v>
      </c>
      <c r="G124" s="79">
        <v>6012188.7294756304</v>
      </c>
      <c r="H124" s="77" t="s">
        <v>142</v>
      </c>
      <c r="I124" s="77" t="s">
        <v>173</v>
      </c>
      <c r="J124" s="80">
        <v>43</v>
      </c>
      <c r="K124" s="77" t="s">
        <v>375</v>
      </c>
      <c r="L124" s="25" t="s">
        <v>99</v>
      </c>
      <c r="M124" s="25" t="s">
        <v>100</v>
      </c>
      <c r="N124" s="114">
        <v>1</v>
      </c>
      <c r="O124" s="114">
        <v>12</v>
      </c>
      <c r="P124" s="116" t="s">
        <v>101</v>
      </c>
      <c r="Q124" s="122"/>
      <c r="R124" s="116" t="s">
        <v>101</v>
      </c>
      <c r="S124" s="116" t="s">
        <v>101</v>
      </c>
      <c r="T124" s="122"/>
      <c r="U124" s="114">
        <v>2.5</v>
      </c>
      <c r="V124" s="116">
        <v>0.12</v>
      </c>
      <c r="W124" s="114">
        <v>0.5</v>
      </c>
      <c r="X124" s="116" t="s">
        <v>104</v>
      </c>
      <c r="Y124" s="114">
        <v>4.5</v>
      </c>
      <c r="Z124" s="114">
        <v>1.6</v>
      </c>
      <c r="AA124" s="116">
        <v>5</v>
      </c>
      <c r="AB124" s="25" t="s">
        <v>101</v>
      </c>
      <c r="AC124" s="25" t="s">
        <v>101</v>
      </c>
      <c r="AD124" s="116" t="s">
        <v>102</v>
      </c>
      <c r="AE124" s="116" t="s">
        <v>110</v>
      </c>
      <c r="AF124" s="22">
        <f t="shared" si="17"/>
        <v>1.6</v>
      </c>
      <c r="AG124" s="15">
        <f t="shared" si="10"/>
        <v>0</v>
      </c>
      <c r="AH124" s="7">
        <f t="shared" si="11"/>
        <v>10</v>
      </c>
      <c r="AI124" s="7">
        <f t="shared" si="12"/>
        <v>0</v>
      </c>
      <c r="AJ124" s="7">
        <f t="shared" si="13"/>
        <v>10</v>
      </c>
      <c r="AK124" s="12">
        <f t="shared" si="14"/>
        <v>6</v>
      </c>
      <c r="AL124" s="14">
        <f t="shared" si="16"/>
        <v>26</v>
      </c>
      <c r="AM124" s="16" t="str">
        <f t="shared" si="15"/>
        <v>Barrier</v>
      </c>
      <c r="AN124" s="116" t="s">
        <v>398</v>
      </c>
      <c r="AO124" s="114">
        <v>3</v>
      </c>
      <c r="AP124" s="25" t="s">
        <v>303</v>
      </c>
    </row>
    <row r="125" spans="1:42" ht="30" x14ac:dyDescent="0.25">
      <c r="A125" s="82">
        <v>44442</v>
      </c>
      <c r="B125" s="76"/>
      <c r="C125" s="25">
        <v>14000688</v>
      </c>
      <c r="D125" s="116" t="s">
        <v>170</v>
      </c>
      <c r="E125" s="77">
        <v>9</v>
      </c>
      <c r="F125" s="78">
        <v>614148.15799963695</v>
      </c>
      <c r="G125" s="79">
        <v>6008425.05042163</v>
      </c>
      <c r="H125" s="77" t="s">
        <v>142</v>
      </c>
      <c r="I125" s="77" t="s">
        <v>173</v>
      </c>
      <c r="J125" s="80">
        <v>35</v>
      </c>
      <c r="K125" s="77" t="s">
        <v>375</v>
      </c>
      <c r="L125" s="25" t="s">
        <v>99</v>
      </c>
      <c r="M125" s="25" t="s">
        <v>100</v>
      </c>
      <c r="N125" s="114">
        <v>0.6</v>
      </c>
      <c r="O125" s="114">
        <v>16</v>
      </c>
      <c r="P125" s="116" t="s">
        <v>101</v>
      </c>
      <c r="Q125" s="122"/>
      <c r="R125" s="116" t="s">
        <v>101</v>
      </c>
      <c r="S125" s="116" t="s">
        <v>101</v>
      </c>
      <c r="T125" s="122"/>
      <c r="U125" s="114">
        <v>2.5</v>
      </c>
      <c r="V125" s="116">
        <v>0</v>
      </c>
      <c r="W125" s="114">
        <v>0</v>
      </c>
      <c r="X125" s="116" t="s">
        <v>101</v>
      </c>
      <c r="Y125" s="114">
        <v>5</v>
      </c>
      <c r="Z125" s="114">
        <v>0</v>
      </c>
      <c r="AA125" s="116">
        <v>4</v>
      </c>
      <c r="AB125" s="25" t="s">
        <v>101</v>
      </c>
      <c r="AC125" s="25" t="s">
        <v>101</v>
      </c>
      <c r="AD125" s="116" t="s">
        <v>102</v>
      </c>
      <c r="AE125" s="116" t="s">
        <v>103</v>
      </c>
      <c r="AF125" s="22">
        <f t="shared" si="17"/>
        <v>0</v>
      </c>
      <c r="AG125" s="15">
        <f t="shared" si="10"/>
        <v>3</v>
      </c>
      <c r="AH125" s="7">
        <f t="shared" si="11"/>
        <v>10</v>
      </c>
      <c r="AI125" s="7">
        <f t="shared" si="12"/>
        <v>0</v>
      </c>
      <c r="AJ125" s="7">
        <f t="shared" si="13"/>
        <v>10</v>
      </c>
      <c r="AK125" s="12">
        <f t="shared" si="14"/>
        <v>0</v>
      </c>
      <c r="AL125" s="14">
        <f t="shared" si="16"/>
        <v>23</v>
      </c>
      <c r="AM125" s="16" t="str">
        <f t="shared" si="15"/>
        <v>Barrier</v>
      </c>
      <c r="AN125" s="116" t="s">
        <v>398</v>
      </c>
      <c r="AO125" s="114">
        <v>3</v>
      </c>
      <c r="AP125" s="25" t="s">
        <v>397</v>
      </c>
    </row>
    <row r="126" spans="1:42" ht="30" x14ac:dyDescent="0.25">
      <c r="A126" s="82">
        <v>44442</v>
      </c>
      <c r="B126" s="76"/>
      <c r="C126" s="25">
        <v>14000546</v>
      </c>
      <c r="D126" s="116" t="s">
        <v>170</v>
      </c>
      <c r="E126" s="77">
        <v>9</v>
      </c>
      <c r="F126" s="78">
        <v>614944.71696822403</v>
      </c>
      <c r="G126" s="79">
        <v>6010128.71519922</v>
      </c>
      <c r="H126" s="77" t="s">
        <v>124</v>
      </c>
      <c r="I126" s="77" t="s">
        <v>121</v>
      </c>
      <c r="J126" s="80">
        <v>3.5</v>
      </c>
      <c r="K126" s="77" t="s">
        <v>375</v>
      </c>
      <c r="L126" s="25" t="s">
        <v>95</v>
      </c>
      <c r="M126" s="25" t="s">
        <v>96</v>
      </c>
      <c r="N126" s="114">
        <v>17</v>
      </c>
      <c r="O126" s="114">
        <v>4.5</v>
      </c>
      <c r="P126" s="121"/>
      <c r="Q126" s="122"/>
      <c r="R126" s="121"/>
      <c r="S126" s="121"/>
      <c r="T126" s="122"/>
      <c r="U126" s="122"/>
      <c r="V126" s="121"/>
      <c r="W126" s="122"/>
      <c r="X126" s="121"/>
      <c r="Y126" s="122"/>
      <c r="Z126" s="122"/>
      <c r="AA126" s="121"/>
      <c r="AB126" s="25"/>
      <c r="AC126" s="25"/>
      <c r="AD126" s="121"/>
      <c r="AE126" s="121"/>
      <c r="AF126" s="22">
        <f t="shared" si="17"/>
        <v>0</v>
      </c>
      <c r="AG126" s="15">
        <f t="shared" si="10"/>
        <v>0</v>
      </c>
      <c r="AH126" s="7">
        <f t="shared" si="11"/>
        <v>0</v>
      </c>
      <c r="AI126" s="7">
        <f t="shared" si="12"/>
        <v>0</v>
      </c>
      <c r="AJ126" s="7">
        <f t="shared" si="13"/>
        <v>0</v>
      </c>
      <c r="AK126" s="12">
        <f t="shared" si="14"/>
        <v>0</v>
      </c>
      <c r="AL126" s="14">
        <f t="shared" si="16"/>
        <v>0</v>
      </c>
      <c r="AM126" s="16" t="str">
        <f t="shared" si="15"/>
        <v>Passable</v>
      </c>
      <c r="AN126" s="121"/>
      <c r="AO126" s="122"/>
      <c r="AP126" s="25" t="s">
        <v>304</v>
      </c>
    </row>
    <row r="127" spans="1:42" ht="30" x14ac:dyDescent="0.25">
      <c r="A127" s="82">
        <v>44442</v>
      </c>
      <c r="B127" s="76"/>
      <c r="C127" s="25">
        <v>14001769</v>
      </c>
      <c r="D127" s="116" t="s">
        <v>170</v>
      </c>
      <c r="E127" s="77">
        <v>9</v>
      </c>
      <c r="F127" s="78">
        <v>614711.47513219598</v>
      </c>
      <c r="G127" s="79">
        <v>6009970.73163075</v>
      </c>
      <c r="H127" s="77" t="s">
        <v>228</v>
      </c>
      <c r="I127" s="77" t="s">
        <v>305</v>
      </c>
      <c r="J127" s="80">
        <v>2.54</v>
      </c>
      <c r="K127" s="77" t="s">
        <v>364</v>
      </c>
      <c r="L127" s="25" t="s">
        <v>99</v>
      </c>
      <c r="M127" s="25" t="s">
        <v>100</v>
      </c>
      <c r="N127" s="114">
        <v>1</v>
      </c>
      <c r="O127" s="114">
        <v>11</v>
      </c>
      <c r="P127" s="116" t="s">
        <v>101</v>
      </c>
      <c r="Q127" s="122"/>
      <c r="R127" s="116" t="s">
        <v>101</v>
      </c>
      <c r="S127" s="116" t="s">
        <v>104</v>
      </c>
      <c r="T127" s="114">
        <v>10</v>
      </c>
      <c r="U127" s="114">
        <v>2</v>
      </c>
      <c r="V127" s="116">
        <v>0</v>
      </c>
      <c r="W127" s="114">
        <v>0.3</v>
      </c>
      <c r="X127" s="116" t="s">
        <v>104</v>
      </c>
      <c r="Y127" s="114">
        <v>3.5</v>
      </c>
      <c r="Z127" s="114">
        <v>1.4</v>
      </c>
      <c r="AA127" s="116">
        <v>4.5</v>
      </c>
      <c r="AB127" s="25" t="s">
        <v>101</v>
      </c>
      <c r="AC127" s="25" t="s">
        <v>101</v>
      </c>
      <c r="AD127" s="116" t="s">
        <v>102</v>
      </c>
      <c r="AE127" s="116" t="s">
        <v>110</v>
      </c>
      <c r="AF127" s="22">
        <f t="shared" si="17"/>
        <v>1.4</v>
      </c>
      <c r="AG127" s="15">
        <f t="shared" si="10"/>
        <v>0</v>
      </c>
      <c r="AH127" s="7">
        <f t="shared" si="11"/>
        <v>10</v>
      </c>
      <c r="AI127" s="7">
        <f t="shared" si="12"/>
        <v>0</v>
      </c>
      <c r="AJ127" s="7">
        <f t="shared" si="13"/>
        <v>10</v>
      </c>
      <c r="AK127" s="12">
        <f t="shared" si="14"/>
        <v>6</v>
      </c>
      <c r="AL127" s="14">
        <f t="shared" si="16"/>
        <v>26</v>
      </c>
      <c r="AM127" s="16" t="str">
        <f t="shared" si="15"/>
        <v>Barrier</v>
      </c>
      <c r="AN127" s="116" t="s">
        <v>398</v>
      </c>
      <c r="AO127" s="114">
        <v>3</v>
      </c>
      <c r="AP127" s="25" t="s">
        <v>394</v>
      </c>
    </row>
    <row r="128" spans="1:42" ht="30" x14ac:dyDescent="0.25">
      <c r="A128" s="82">
        <v>44442</v>
      </c>
      <c r="B128" s="76"/>
      <c r="C128" s="25">
        <v>14001103</v>
      </c>
      <c r="D128" s="116" t="s">
        <v>170</v>
      </c>
      <c r="E128" s="77">
        <v>9</v>
      </c>
      <c r="F128" s="78">
        <v>614567.80629247101</v>
      </c>
      <c r="G128" s="79">
        <v>6008395.5946821701</v>
      </c>
      <c r="H128" s="77" t="s">
        <v>228</v>
      </c>
      <c r="I128" s="77" t="s">
        <v>305</v>
      </c>
      <c r="J128" s="80">
        <v>1</v>
      </c>
      <c r="K128" s="77" t="s">
        <v>375</v>
      </c>
      <c r="L128" s="25" t="s">
        <v>95</v>
      </c>
      <c r="M128" s="25" t="s">
        <v>96</v>
      </c>
      <c r="N128" s="114">
        <v>12</v>
      </c>
      <c r="O128" s="114">
        <v>4.5</v>
      </c>
      <c r="P128" s="121"/>
      <c r="Q128" s="122"/>
      <c r="R128" s="121"/>
      <c r="S128" s="121"/>
      <c r="T128" s="122"/>
      <c r="U128" s="122"/>
      <c r="V128" s="121"/>
      <c r="W128" s="122"/>
      <c r="X128" s="121"/>
      <c r="Y128" s="122"/>
      <c r="Z128" s="122"/>
      <c r="AA128" s="121"/>
      <c r="AB128" s="25"/>
      <c r="AC128" s="25"/>
      <c r="AD128" s="121"/>
      <c r="AE128" s="121"/>
      <c r="AF128" s="22">
        <f t="shared" si="17"/>
        <v>0</v>
      </c>
      <c r="AG128" s="15">
        <f t="shared" si="10"/>
        <v>0</v>
      </c>
      <c r="AH128" s="7">
        <f t="shared" si="11"/>
        <v>0</v>
      </c>
      <c r="AI128" s="7">
        <f t="shared" si="12"/>
        <v>0</v>
      </c>
      <c r="AJ128" s="7">
        <f t="shared" si="13"/>
        <v>0</v>
      </c>
      <c r="AK128" s="12">
        <f t="shared" si="14"/>
        <v>0</v>
      </c>
      <c r="AL128" s="14">
        <f t="shared" si="16"/>
        <v>0</v>
      </c>
      <c r="AM128" s="16" t="str">
        <f t="shared" si="15"/>
        <v>Passable</v>
      </c>
      <c r="AN128" s="121"/>
      <c r="AO128" s="122"/>
      <c r="AP128" s="25" t="s">
        <v>306</v>
      </c>
    </row>
    <row r="129" spans="1:42" ht="30" x14ac:dyDescent="0.25">
      <c r="A129" s="82">
        <v>44442</v>
      </c>
      <c r="B129" s="76"/>
      <c r="C129" s="25">
        <v>14001175</v>
      </c>
      <c r="D129" s="116" t="s">
        <v>170</v>
      </c>
      <c r="E129" s="77">
        <v>9</v>
      </c>
      <c r="F129" s="78">
        <v>620580.19743972702</v>
      </c>
      <c r="G129" s="79">
        <v>6010857.3264285196</v>
      </c>
      <c r="H129" s="77" t="s">
        <v>228</v>
      </c>
      <c r="I129" s="77" t="s">
        <v>235</v>
      </c>
      <c r="J129" s="80"/>
      <c r="K129" s="77" t="s">
        <v>375</v>
      </c>
      <c r="L129" s="25" t="s">
        <v>95</v>
      </c>
      <c r="M129" s="25" t="s">
        <v>96</v>
      </c>
      <c r="N129" s="114">
        <v>10</v>
      </c>
      <c r="O129" s="114">
        <v>4</v>
      </c>
      <c r="P129" s="121"/>
      <c r="Q129" s="122"/>
      <c r="R129" s="121"/>
      <c r="S129" s="121"/>
      <c r="T129" s="122"/>
      <c r="U129" s="122"/>
      <c r="V129" s="121"/>
      <c r="W129" s="122"/>
      <c r="X129" s="121"/>
      <c r="Y129" s="122"/>
      <c r="Z129" s="122"/>
      <c r="AA129" s="121"/>
      <c r="AB129" s="25"/>
      <c r="AC129" s="25"/>
      <c r="AD129" s="121"/>
      <c r="AE129" s="121"/>
      <c r="AF129" s="22">
        <f t="shared" si="17"/>
        <v>0</v>
      </c>
      <c r="AG129" s="15">
        <f t="shared" si="10"/>
        <v>0</v>
      </c>
      <c r="AH129" s="7">
        <f t="shared" si="11"/>
        <v>0</v>
      </c>
      <c r="AI129" s="7">
        <f t="shared" si="12"/>
        <v>0</v>
      </c>
      <c r="AJ129" s="7">
        <f t="shared" si="13"/>
        <v>0</v>
      </c>
      <c r="AK129" s="12">
        <f t="shared" si="14"/>
        <v>0</v>
      </c>
      <c r="AL129" s="14">
        <f t="shared" si="16"/>
        <v>0</v>
      </c>
      <c r="AM129" s="16" t="str">
        <f t="shared" si="15"/>
        <v>Passable</v>
      </c>
      <c r="AN129" s="121"/>
      <c r="AO129" s="122"/>
      <c r="AP129" s="25" t="s">
        <v>307</v>
      </c>
    </row>
    <row r="130" spans="1:42" ht="30" x14ac:dyDescent="0.25">
      <c r="A130" s="82">
        <v>44442</v>
      </c>
      <c r="B130" s="76"/>
      <c r="C130" s="25">
        <v>14000677</v>
      </c>
      <c r="D130" s="116" t="s">
        <v>170</v>
      </c>
      <c r="E130" s="77">
        <v>9</v>
      </c>
      <c r="F130" s="78">
        <v>619787.88643350801</v>
      </c>
      <c r="G130" s="79">
        <v>6008368.7305199299</v>
      </c>
      <c r="H130" s="77" t="s">
        <v>142</v>
      </c>
      <c r="I130" s="77" t="s">
        <v>173</v>
      </c>
      <c r="J130" s="80">
        <v>28.5</v>
      </c>
      <c r="K130" s="77" t="s">
        <v>375</v>
      </c>
      <c r="L130" s="25" t="s">
        <v>95</v>
      </c>
      <c r="M130" s="25" t="s">
        <v>96</v>
      </c>
      <c r="N130" s="114">
        <v>12</v>
      </c>
      <c r="O130" s="114">
        <v>4.5</v>
      </c>
      <c r="P130" s="121"/>
      <c r="Q130" s="122"/>
      <c r="R130" s="121"/>
      <c r="S130" s="121"/>
      <c r="T130" s="122"/>
      <c r="U130" s="122"/>
      <c r="V130" s="121"/>
      <c r="W130" s="122"/>
      <c r="X130" s="121"/>
      <c r="Y130" s="122"/>
      <c r="Z130" s="122"/>
      <c r="AA130" s="121"/>
      <c r="AB130" s="25"/>
      <c r="AC130" s="25"/>
      <c r="AD130" s="121"/>
      <c r="AE130" s="121"/>
      <c r="AF130" s="22">
        <f t="shared" si="17"/>
        <v>0</v>
      </c>
      <c r="AG130" s="15">
        <f t="shared" si="10"/>
        <v>0</v>
      </c>
      <c r="AH130" s="7">
        <f t="shared" si="11"/>
        <v>0</v>
      </c>
      <c r="AI130" s="7">
        <f t="shared" si="12"/>
        <v>0</v>
      </c>
      <c r="AJ130" s="7">
        <f t="shared" si="13"/>
        <v>0</v>
      </c>
      <c r="AK130" s="12">
        <f t="shared" si="14"/>
        <v>0</v>
      </c>
      <c r="AL130" s="14">
        <f t="shared" si="16"/>
        <v>0</v>
      </c>
      <c r="AM130" s="16" t="str">
        <f t="shared" si="15"/>
        <v>Passable</v>
      </c>
      <c r="AN130" s="121"/>
      <c r="AO130" s="122"/>
      <c r="AP130" s="25" t="s">
        <v>308</v>
      </c>
    </row>
    <row r="131" spans="1:42" ht="30" x14ac:dyDescent="0.25">
      <c r="A131" s="82">
        <v>44442</v>
      </c>
      <c r="B131" s="76"/>
      <c r="C131" s="25">
        <v>14000697</v>
      </c>
      <c r="D131" s="116" t="s">
        <v>170</v>
      </c>
      <c r="E131" s="77">
        <v>9</v>
      </c>
      <c r="F131" s="78">
        <v>620771.27725193603</v>
      </c>
      <c r="G131" s="79">
        <v>6007645.3806063896</v>
      </c>
      <c r="H131" s="77" t="s">
        <v>142</v>
      </c>
      <c r="I131" s="77" t="s">
        <v>173</v>
      </c>
      <c r="J131" s="80">
        <v>27</v>
      </c>
      <c r="K131" s="77" t="s">
        <v>375</v>
      </c>
      <c r="L131" s="25" t="s">
        <v>99</v>
      </c>
      <c r="M131" s="25" t="s">
        <v>100</v>
      </c>
      <c r="N131" s="114">
        <v>0.5</v>
      </c>
      <c r="O131" s="114">
        <v>13</v>
      </c>
      <c r="P131" s="116" t="s">
        <v>101</v>
      </c>
      <c r="Q131" s="122"/>
      <c r="R131" s="116" t="s">
        <v>101</v>
      </c>
      <c r="S131" s="116" t="s">
        <v>101</v>
      </c>
      <c r="T131" s="122"/>
      <c r="U131" s="114">
        <v>1</v>
      </c>
      <c r="V131" s="116">
        <v>0.05</v>
      </c>
      <c r="W131" s="114">
        <v>0.12</v>
      </c>
      <c r="X131" s="116" t="s">
        <v>101</v>
      </c>
      <c r="Y131" s="114">
        <v>3</v>
      </c>
      <c r="Z131" s="114">
        <v>0.7</v>
      </c>
      <c r="AA131" s="116">
        <v>7</v>
      </c>
      <c r="AB131" s="25" t="s">
        <v>101</v>
      </c>
      <c r="AC131" s="25" t="s">
        <v>101</v>
      </c>
      <c r="AD131" s="116" t="s">
        <v>102</v>
      </c>
      <c r="AE131" s="116" t="s">
        <v>103</v>
      </c>
      <c r="AF131" s="22">
        <f t="shared" si="17"/>
        <v>1.4</v>
      </c>
      <c r="AG131" s="15">
        <f t="shared" si="10"/>
        <v>0</v>
      </c>
      <c r="AH131" s="7">
        <f t="shared" si="11"/>
        <v>10</v>
      </c>
      <c r="AI131" s="7">
        <f t="shared" si="12"/>
        <v>0</v>
      </c>
      <c r="AJ131" s="7">
        <f t="shared" si="13"/>
        <v>10</v>
      </c>
      <c r="AK131" s="12">
        <f t="shared" si="14"/>
        <v>6</v>
      </c>
      <c r="AL131" s="14">
        <f t="shared" si="16"/>
        <v>26</v>
      </c>
      <c r="AM131" s="16" t="str">
        <f t="shared" si="15"/>
        <v>Barrier</v>
      </c>
      <c r="AN131" s="116" t="s">
        <v>398</v>
      </c>
      <c r="AO131" s="114">
        <v>3</v>
      </c>
      <c r="AP131" s="25" t="s">
        <v>309</v>
      </c>
    </row>
    <row r="132" spans="1:42" ht="30" x14ac:dyDescent="0.25">
      <c r="A132" s="82">
        <v>44442</v>
      </c>
      <c r="B132" s="76"/>
      <c r="C132" s="25">
        <v>14000692</v>
      </c>
      <c r="D132" s="116" t="s">
        <v>170</v>
      </c>
      <c r="E132" s="77">
        <v>9</v>
      </c>
      <c r="F132" s="78">
        <v>625143.84044260997</v>
      </c>
      <c r="G132" s="79">
        <v>6007956.0146198999</v>
      </c>
      <c r="H132" s="77" t="s">
        <v>142</v>
      </c>
      <c r="I132" s="77" t="s">
        <v>173</v>
      </c>
      <c r="J132" s="80">
        <v>22.5</v>
      </c>
      <c r="K132" s="77" t="s">
        <v>375</v>
      </c>
      <c r="L132" s="25" t="s">
        <v>95</v>
      </c>
      <c r="M132" s="25" t="s">
        <v>96</v>
      </c>
      <c r="N132" s="114">
        <v>10</v>
      </c>
      <c r="O132" s="114">
        <v>4.5</v>
      </c>
      <c r="P132" s="121"/>
      <c r="Q132" s="122"/>
      <c r="R132" s="121"/>
      <c r="S132" s="121"/>
      <c r="T132" s="122"/>
      <c r="U132" s="122"/>
      <c r="V132" s="121"/>
      <c r="W132" s="122"/>
      <c r="X132" s="121"/>
      <c r="Y132" s="122"/>
      <c r="Z132" s="122"/>
      <c r="AA132" s="121"/>
      <c r="AB132" s="25"/>
      <c r="AC132" s="25"/>
      <c r="AD132" s="121"/>
      <c r="AE132" s="121"/>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Passable</v>
      </c>
      <c r="AN132" s="121"/>
      <c r="AO132" s="122"/>
      <c r="AP132" s="25" t="s">
        <v>310</v>
      </c>
    </row>
    <row r="133" spans="1:42" ht="30" x14ac:dyDescent="0.25">
      <c r="A133" s="82">
        <v>44442</v>
      </c>
      <c r="B133" s="76"/>
      <c r="C133" s="25">
        <v>14000683</v>
      </c>
      <c r="D133" s="116" t="s">
        <v>170</v>
      </c>
      <c r="E133" s="77">
        <v>9</v>
      </c>
      <c r="F133" s="78">
        <v>627065.03460670402</v>
      </c>
      <c r="G133" s="79">
        <v>6008379.6978764599</v>
      </c>
      <c r="H133" s="77" t="s">
        <v>142</v>
      </c>
      <c r="I133" s="77" t="s">
        <v>173</v>
      </c>
      <c r="J133" s="80">
        <v>20</v>
      </c>
      <c r="K133" s="77" t="s">
        <v>375</v>
      </c>
      <c r="L133" s="25" t="s">
        <v>99</v>
      </c>
      <c r="M133" s="25" t="s">
        <v>100</v>
      </c>
      <c r="N133" s="114">
        <v>1.2</v>
      </c>
      <c r="O133" s="114">
        <v>17</v>
      </c>
      <c r="P133" s="116" t="s">
        <v>101</v>
      </c>
      <c r="Q133" s="122"/>
      <c r="R133" s="116" t="s">
        <v>101</v>
      </c>
      <c r="S133" s="116" t="s">
        <v>101</v>
      </c>
      <c r="T133" s="122"/>
      <c r="U133" s="114">
        <v>2</v>
      </c>
      <c r="V133" s="116">
        <v>0.12</v>
      </c>
      <c r="W133" s="114">
        <v>0.17</v>
      </c>
      <c r="X133" s="116" t="s">
        <v>101</v>
      </c>
      <c r="Y133" s="114">
        <v>3.5</v>
      </c>
      <c r="Z133" s="114">
        <v>1.1000000000000001</v>
      </c>
      <c r="AA133" s="116">
        <v>5</v>
      </c>
      <c r="AB133" s="25" t="s">
        <v>101</v>
      </c>
      <c r="AC133" s="25" t="s">
        <v>101</v>
      </c>
      <c r="AD133" s="116" t="s">
        <v>102</v>
      </c>
      <c r="AE133" s="116" t="s">
        <v>103</v>
      </c>
      <c r="AF133" s="22">
        <f t="shared" si="17"/>
        <v>0.91666666666666674</v>
      </c>
      <c r="AG133" s="15">
        <f t="shared" si="18"/>
        <v>3</v>
      </c>
      <c r="AH133" s="7">
        <f t="shared" si="19"/>
        <v>10</v>
      </c>
      <c r="AI133" s="7">
        <f t="shared" si="20"/>
        <v>0</v>
      </c>
      <c r="AJ133" s="7">
        <f t="shared" si="21"/>
        <v>10</v>
      </c>
      <c r="AK133" s="12">
        <f t="shared" si="22"/>
        <v>0</v>
      </c>
      <c r="AL133" s="14">
        <f t="shared" si="16"/>
        <v>23</v>
      </c>
      <c r="AM133" s="16" t="str">
        <f t="shared" si="23"/>
        <v>Barrier</v>
      </c>
      <c r="AN133" s="116" t="s">
        <v>398</v>
      </c>
      <c r="AO133" s="114">
        <v>3</v>
      </c>
      <c r="AP133" s="25" t="s">
        <v>311</v>
      </c>
    </row>
    <row r="134" spans="1:42" ht="30" x14ac:dyDescent="0.25">
      <c r="A134" s="82">
        <v>44442</v>
      </c>
      <c r="B134" s="76"/>
      <c r="C134" s="25">
        <v>14000694</v>
      </c>
      <c r="D134" s="116" t="s">
        <v>170</v>
      </c>
      <c r="E134" s="77">
        <v>9</v>
      </c>
      <c r="F134" s="78">
        <v>628708</v>
      </c>
      <c r="G134" s="79">
        <v>6009766</v>
      </c>
      <c r="H134" s="77" t="s">
        <v>142</v>
      </c>
      <c r="I134" s="77" t="s">
        <v>173</v>
      </c>
      <c r="J134" s="80">
        <v>18</v>
      </c>
      <c r="K134" s="77" t="s">
        <v>375</v>
      </c>
      <c r="L134" s="25" t="s">
        <v>99</v>
      </c>
      <c r="M134" s="25" t="s">
        <v>100</v>
      </c>
      <c r="N134" s="114">
        <v>1</v>
      </c>
      <c r="O134" s="114">
        <v>21</v>
      </c>
      <c r="P134" s="116" t="s">
        <v>101</v>
      </c>
      <c r="Q134" s="122"/>
      <c r="R134" s="116" t="s">
        <v>101</v>
      </c>
      <c r="S134" s="116" t="s">
        <v>101</v>
      </c>
      <c r="T134" s="122"/>
      <c r="U134" s="114">
        <v>1</v>
      </c>
      <c r="V134" s="116">
        <v>0</v>
      </c>
      <c r="W134" s="114">
        <v>0</v>
      </c>
      <c r="X134" s="116" t="s">
        <v>104</v>
      </c>
      <c r="Y134" s="114">
        <v>5</v>
      </c>
      <c r="Z134" s="114">
        <v>0.9</v>
      </c>
      <c r="AA134" s="116">
        <v>7</v>
      </c>
      <c r="AB134" s="25" t="s">
        <v>101</v>
      </c>
      <c r="AC134" s="25" t="s">
        <v>101</v>
      </c>
      <c r="AD134" s="116" t="s">
        <v>102</v>
      </c>
      <c r="AE134" s="116" t="s">
        <v>103</v>
      </c>
      <c r="AF134" s="22">
        <f t="shared" si="17"/>
        <v>0.9</v>
      </c>
      <c r="AG134" s="15">
        <f t="shared" si="18"/>
        <v>3</v>
      </c>
      <c r="AH134" s="7">
        <f t="shared" si="19"/>
        <v>10</v>
      </c>
      <c r="AI134" s="7">
        <f t="shared" si="20"/>
        <v>0</v>
      </c>
      <c r="AJ134" s="7">
        <f t="shared" si="21"/>
        <v>10</v>
      </c>
      <c r="AK134" s="12">
        <f t="shared" si="22"/>
        <v>0</v>
      </c>
      <c r="AL134" s="14">
        <f t="shared" si="16"/>
        <v>23</v>
      </c>
      <c r="AM134" s="16" t="str">
        <f t="shared" si="23"/>
        <v>Barrier</v>
      </c>
      <c r="AN134" s="125" t="s">
        <v>398</v>
      </c>
      <c r="AO134" s="114">
        <v>3</v>
      </c>
      <c r="AP134" s="25" t="s">
        <v>538</v>
      </c>
    </row>
    <row r="135" spans="1:42" ht="30" x14ac:dyDescent="0.25">
      <c r="A135" s="117">
        <v>44419</v>
      </c>
      <c r="B135" s="76"/>
      <c r="C135" s="116">
        <v>14000823</v>
      </c>
      <c r="D135" s="116" t="s">
        <v>160</v>
      </c>
      <c r="E135" s="77">
        <v>9</v>
      </c>
      <c r="F135" s="78">
        <v>623571.01218722202</v>
      </c>
      <c r="G135" s="79">
        <v>6001711.0284894304</v>
      </c>
      <c r="H135" s="77" t="s">
        <v>155</v>
      </c>
      <c r="I135" s="77" t="s">
        <v>167</v>
      </c>
      <c r="J135" s="80">
        <v>48</v>
      </c>
      <c r="K135" s="77" t="s">
        <v>378</v>
      </c>
      <c r="L135" s="25" t="s">
        <v>99</v>
      </c>
      <c r="M135" s="25" t="s">
        <v>100</v>
      </c>
      <c r="N135" s="114">
        <v>0.7</v>
      </c>
      <c r="O135" s="114">
        <v>12</v>
      </c>
      <c r="P135" s="116" t="s">
        <v>101</v>
      </c>
      <c r="Q135" s="122"/>
      <c r="R135" s="116" t="s">
        <v>101</v>
      </c>
      <c r="S135" s="116" t="s">
        <v>101</v>
      </c>
      <c r="T135" s="122"/>
      <c r="U135" s="114">
        <v>1.5</v>
      </c>
      <c r="V135" s="116">
        <v>0.05</v>
      </c>
      <c r="W135" s="114">
        <v>0.45</v>
      </c>
      <c r="X135" s="116" t="s">
        <v>104</v>
      </c>
      <c r="Y135" s="114">
        <v>2</v>
      </c>
      <c r="Z135" s="114">
        <v>1</v>
      </c>
      <c r="AA135" s="116">
        <v>15</v>
      </c>
      <c r="AB135" s="25" t="s">
        <v>101</v>
      </c>
      <c r="AC135" s="25" t="s">
        <v>101</v>
      </c>
      <c r="AD135" s="116" t="s">
        <v>102</v>
      </c>
      <c r="AE135" s="116" t="s">
        <v>103</v>
      </c>
      <c r="AF135" s="22">
        <f t="shared" si="17"/>
        <v>1.4285714285714286</v>
      </c>
      <c r="AG135" s="15">
        <f t="shared" si="18"/>
        <v>0</v>
      </c>
      <c r="AH135" s="7">
        <f t="shared" si="19"/>
        <v>10</v>
      </c>
      <c r="AI135" s="7">
        <f t="shared" si="20"/>
        <v>0</v>
      </c>
      <c r="AJ135" s="7">
        <f t="shared" si="21"/>
        <v>5</v>
      </c>
      <c r="AK135" s="12">
        <f t="shared" si="22"/>
        <v>6</v>
      </c>
      <c r="AL135" s="14">
        <f t="shared" ref="AL135:AL198" si="24">AG135 + AH135 + AI135 + AJ135 + AK135</f>
        <v>21</v>
      </c>
      <c r="AM135" s="16" t="str">
        <f t="shared" si="23"/>
        <v>Barrier</v>
      </c>
      <c r="AN135" s="116" t="s">
        <v>398</v>
      </c>
      <c r="AO135" s="114">
        <v>3</v>
      </c>
      <c r="AP135" s="25" t="s">
        <v>359</v>
      </c>
    </row>
    <row r="136" spans="1:42" x14ac:dyDescent="0.25">
      <c r="A136" s="82">
        <v>44444</v>
      </c>
      <c r="B136" s="76"/>
      <c r="C136" s="25">
        <v>1801166</v>
      </c>
      <c r="D136" s="116" t="s">
        <v>170</v>
      </c>
      <c r="E136" s="77">
        <v>9</v>
      </c>
      <c r="F136" s="78">
        <v>675438.94586710003</v>
      </c>
      <c r="G136" s="79">
        <v>6044630.0762584703</v>
      </c>
      <c r="H136" s="77" t="s">
        <v>137</v>
      </c>
      <c r="I136" s="77" t="s">
        <v>121</v>
      </c>
      <c r="J136" s="80"/>
      <c r="K136" s="77" t="s">
        <v>362</v>
      </c>
      <c r="L136" s="25" t="s">
        <v>112</v>
      </c>
      <c r="M136" s="25" t="s">
        <v>113</v>
      </c>
      <c r="N136" s="122"/>
      <c r="O136" s="122"/>
      <c r="P136" s="121"/>
      <c r="Q136" s="122"/>
      <c r="R136" s="121"/>
      <c r="S136" s="121"/>
      <c r="T136" s="122"/>
      <c r="U136" s="122"/>
      <c r="V136" s="121"/>
      <c r="W136" s="122"/>
      <c r="X136" s="121"/>
      <c r="Y136" s="122"/>
      <c r="Z136" s="122"/>
      <c r="AA136" s="121"/>
      <c r="AB136" s="25"/>
      <c r="AC136" s="25"/>
      <c r="AD136" s="121"/>
      <c r="AE136" s="121"/>
      <c r="AF136" s="22">
        <f t="shared" si="17"/>
        <v>0</v>
      </c>
      <c r="AG136" s="15">
        <f t="shared" si="18"/>
        <v>0</v>
      </c>
      <c r="AH136" s="7">
        <f t="shared" si="19"/>
        <v>0</v>
      </c>
      <c r="AI136" s="7">
        <f t="shared" si="20"/>
        <v>0</v>
      </c>
      <c r="AJ136" s="7">
        <f t="shared" si="21"/>
        <v>0</v>
      </c>
      <c r="AK136" s="12">
        <f t="shared" si="22"/>
        <v>0</v>
      </c>
      <c r="AL136" s="14">
        <f t="shared" si="24"/>
        <v>0</v>
      </c>
      <c r="AM136" s="16" t="str">
        <f t="shared" si="23"/>
        <v>Unknown</v>
      </c>
      <c r="AN136" s="116"/>
      <c r="AO136" s="114"/>
      <c r="AP136" s="25" t="s">
        <v>313</v>
      </c>
    </row>
    <row r="137" spans="1:42" x14ac:dyDescent="0.25">
      <c r="A137" s="82">
        <v>44444</v>
      </c>
      <c r="B137" s="76"/>
      <c r="C137" s="25">
        <v>1801165</v>
      </c>
      <c r="D137" s="116" t="s">
        <v>170</v>
      </c>
      <c r="E137" s="77">
        <v>9</v>
      </c>
      <c r="F137" s="78">
        <v>675402.00719341403</v>
      </c>
      <c r="G137" s="79">
        <v>6044908.99698254</v>
      </c>
      <c r="H137" s="77" t="s">
        <v>312</v>
      </c>
      <c r="I137" s="77" t="s">
        <v>121</v>
      </c>
      <c r="J137" s="80"/>
      <c r="K137" s="77" t="s">
        <v>362</v>
      </c>
      <c r="L137" s="25" t="s">
        <v>112</v>
      </c>
      <c r="M137" s="25" t="s">
        <v>113</v>
      </c>
      <c r="N137" s="122"/>
      <c r="O137" s="122"/>
      <c r="P137" s="121"/>
      <c r="Q137" s="122"/>
      <c r="R137" s="121"/>
      <c r="S137" s="121"/>
      <c r="T137" s="122"/>
      <c r="U137" s="122"/>
      <c r="V137" s="121"/>
      <c r="W137" s="122"/>
      <c r="X137" s="121"/>
      <c r="Y137" s="122"/>
      <c r="Z137" s="122"/>
      <c r="AA137" s="121"/>
      <c r="AB137" s="25"/>
      <c r="AC137" s="25"/>
      <c r="AD137" s="121"/>
      <c r="AE137" s="121"/>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Unknown</v>
      </c>
      <c r="AN137" s="116"/>
      <c r="AO137" s="114"/>
      <c r="AP137" s="25" t="s">
        <v>314</v>
      </c>
    </row>
    <row r="138" spans="1:42" ht="30" x14ac:dyDescent="0.25">
      <c r="A138" s="82">
        <v>44445</v>
      </c>
      <c r="B138" s="76"/>
      <c r="C138" s="25">
        <v>14000395</v>
      </c>
      <c r="D138" s="25" t="s">
        <v>206</v>
      </c>
      <c r="E138" s="77">
        <v>9</v>
      </c>
      <c r="F138" s="78">
        <v>605863.80350813502</v>
      </c>
      <c r="G138" s="79">
        <v>6023574.4645500705</v>
      </c>
      <c r="H138" s="77" t="s">
        <v>144</v>
      </c>
      <c r="I138" s="77" t="s">
        <v>143</v>
      </c>
      <c r="J138" s="80"/>
      <c r="K138" s="77" t="s">
        <v>383</v>
      </c>
      <c r="L138" s="25" t="s">
        <v>99</v>
      </c>
      <c r="M138" s="25" t="s">
        <v>100</v>
      </c>
      <c r="N138" s="114">
        <v>0.4</v>
      </c>
      <c r="O138" s="114">
        <v>11</v>
      </c>
      <c r="P138" s="116" t="s">
        <v>101</v>
      </c>
      <c r="Q138" s="122"/>
      <c r="R138" s="116" t="s">
        <v>101</v>
      </c>
      <c r="S138" s="116" t="s">
        <v>104</v>
      </c>
      <c r="T138" s="114">
        <v>50</v>
      </c>
      <c r="U138" s="114">
        <v>1.5</v>
      </c>
      <c r="V138" s="116">
        <v>0</v>
      </c>
      <c r="W138" s="114">
        <v>0</v>
      </c>
      <c r="X138" s="116" t="s">
        <v>101</v>
      </c>
      <c r="Y138" s="114">
        <v>1.5</v>
      </c>
      <c r="Z138" s="114">
        <v>0.67</v>
      </c>
      <c r="AA138" s="116">
        <v>4</v>
      </c>
      <c r="AB138" s="25" t="s">
        <v>101</v>
      </c>
      <c r="AC138" s="25" t="s">
        <v>101</v>
      </c>
      <c r="AD138" s="116" t="s">
        <v>102</v>
      </c>
      <c r="AE138" s="116" t="s">
        <v>103</v>
      </c>
      <c r="AF138" s="22">
        <f t="shared" si="25"/>
        <v>1.675</v>
      </c>
      <c r="AG138" s="15">
        <f t="shared" si="18"/>
        <v>0</v>
      </c>
      <c r="AH138" s="7">
        <f t="shared" si="19"/>
        <v>10</v>
      </c>
      <c r="AI138" s="7">
        <f t="shared" si="20"/>
        <v>0</v>
      </c>
      <c r="AJ138" s="7">
        <f t="shared" si="21"/>
        <v>5</v>
      </c>
      <c r="AK138" s="12">
        <f t="shared" si="22"/>
        <v>6</v>
      </c>
      <c r="AL138" s="14">
        <f t="shared" si="24"/>
        <v>21</v>
      </c>
      <c r="AM138" s="16" t="str">
        <f t="shared" si="23"/>
        <v>Barrier</v>
      </c>
      <c r="AN138" s="116" t="s">
        <v>398</v>
      </c>
      <c r="AO138" s="114">
        <v>3</v>
      </c>
      <c r="AP138" s="25" t="s">
        <v>315</v>
      </c>
    </row>
    <row r="139" spans="1:42" ht="30" x14ac:dyDescent="0.25">
      <c r="A139" s="82">
        <v>44445</v>
      </c>
      <c r="B139" s="76"/>
      <c r="C139" s="25">
        <v>14000994</v>
      </c>
      <c r="D139" s="116" t="s">
        <v>206</v>
      </c>
      <c r="E139" s="77">
        <v>9</v>
      </c>
      <c r="F139" s="78">
        <v>603814.98225983698</v>
      </c>
      <c r="G139" s="79">
        <v>6009561.9580067201</v>
      </c>
      <c r="H139" s="77" t="s">
        <v>142</v>
      </c>
      <c r="I139" s="77" t="s">
        <v>143</v>
      </c>
      <c r="J139" s="80"/>
      <c r="K139" s="77" t="s">
        <v>368</v>
      </c>
      <c r="L139" s="25" t="s">
        <v>99</v>
      </c>
      <c r="M139" s="25" t="s">
        <v>100</v>
      </c>
      <c r="N139" s="114">
        <v>0.9</v>
      </c>
      <c r="O139" s="114">
        <v>17</v>
      </c>
      <c r="P139" s="116" t="s">
        <v>101</v>
      </c>
      <c r="Q139" s="122"/>
      <c r="R139" s="116" t="s">
        <v>101</v>
      </c>
      <c r="S139" s="116" t="s">
        <v>101</v>
      </c>
      <c r="T139" s="122"/>
      <c r="U139" s="114">
        <v>4</v>
      </c>
      <c r="V139" s="116">
        <v>0.34</v>
      </c>
      <c r="W139" s="114">
        <v>0.31</v>
      </c>
      <c r="X139" s="116" t="s">
        <v>101</v>
      </c>
      <c r="Y139" s="114">
        <v>2</v>
      </c>
      <c r="Z139" s="114">
        <v>0.6</v>
      </c>
      <c r="AA139" s="116">
        <v>1</v>
      </c>
      <c r="AB139" s="25" t="s">
        <v>101</v>
      </c>
      <c r="AC139" s="25" t="s">
        <v>101</v>
      </c>
      <c r="AD139" s="116" t="s">
        <v>102</v>
      </c>
      <c r="AE139" s="116" t="s">
        <v>110</v>
      </c>
      <c r="AF139" s="22">
        <f t="shared" si="25"/>
        <v>0.66666666666666663</v>
      </c>
      <c r="AG139" s="15">
        <f t="shared" si="18"/>
        <v>3</v>
      </c>
      <c r="AH139" s="7">
        <f t="shared" si="19"/>
        <v>10</v>
      </c>
      <c r="AI139" s="7">
        <f t="shared" si="20"/>
        <v>10</v>
      </c>
      <c r="AJ139" s="7">
        <f t="shared" si="21"/>
        <v>5</v>
      </c>
      <c r="AK139" s="12">
        <f t="shared" si="22"/>
        <v>0</v>
      </c>
      <c r="AL139" s="14">
        <f t="shared" si="24"/>
        <v>28</v>
      </c>
      <c r="AM139" s="16" t="str">
        <f t="shared" si="23"/>
        <v>Barrier</v>
      </c>
      <c r="AN139" s="116" t="s">
        <v>398</v>
      </c>
      <c r="AO139" s="114">
        <v>3</v>
      </c>
      <c r="AP139" s="25" t="s">
        <v>539</v>
      </c>
    </row>
    <row r="140" spans="1:42" ht="30" x14ac:dyDescent="0.25">
      <c r="A140" s="82">
        <v>44445</v>
      </c>
      <c r="B140" s="76"/>
      <c r="C140" s="25">
        <v>14000398</v>
      </c>
      <c r="D140" s="25" t="s">
        <v>170</v>
      </c>
      <c r="E140" s="77">
        <v>9</v>
      </c>
      <c r="F140" s="78">
        <v>605437</v>
      </c>
      <c r="G140" s="79">
        <v>6021867.2665416198</v>
      </c>
      <c r="H140" s="77" t="s">
        <v>144</v>
      </c>
      <c r="I140" s="77" t="s">
        <v>143</v>
      </c>
      <c r="J140" s="80"/>
      <c r="K140" s="77" t="s">
        <v>383</v>
      </c>
      <c r="L140" s="25" t="s">
        <v>99</v>
      </c>
      <c r="M140" s="25" t="s">
        <v>100</v>
      </c>
      <c r="N140" s="114">
        <v>1</v>
      </c>
      <c r="O140" s="114">
        <v>13</v>
      </c>
      <c r="P140" s="116" t="s">
        <v>101</v>
      </c>
      <c r="Q140" s="122"/>
      <c r="R140" s="116" t="s">
        <v>101</v>
      </c>
      <c r="S140" s="116" t="s">
        <v>101</v>
      </c>
      <c r="T140" s="122"/>
      <c r="U140" s="114">
        <v>2</v>
      </c>
      <c r="V140" s="116">
        <v>0.18</v>
      </c>
      <c r="W140" s="114">
        <v>0.26</v>
      </c>
      <c r="X140" s="116" t="s">
        <v>104</v>
      </c>
      <c r="Y140" s="114">
        <v>5</v>
      </c>
      <c r="Z140" s="114">
        <v>1.17</v>
      </c>
      <c r="AA140" s="116">
        <v>6</v>
      </c>
      <c r="AB140" s="25" t="s">
        <v>101</v>
      </c>
      <c r="AC140" s="25" t="s">
        <v>101</v>
      </c>
      <c r="AD140" s="116" t="s">
        <v>102</v>
      </c>
      <c r="AE140" s="116" t="s">
        <v>103</v>
      </c>
      <c r="AF140" s="22">
        <f t="shared" si="25"/>
        <v>1.17</v>
      </c>
      <c r="AG140" s="15">
        <f t="shared" si="18"/>
        <v>0</v>
      </c>
      <c r="AH140" s="7">
        <f t="shared" si="19"/>
        <v>10</v>
      </c>
      <c r="AI140" s="7">
        <f t="shared" si="20"/>
        <v>5</v>
      </c>
      <c r="AJ140" s="7">
        <f t="shared" si="21"/>
        <v>10</v>
      </c>
      <c r="AK140" s="12">
        <f t="shared" si="22"/>
        <v>3</v>
      </c>
      <c r="AL140" s="14">
        <f t="shared" si="24"/>
        <v>28</v>
      </c>
      <c r="AM140" s="16" t="str">
        <f t="shared" si="23"/>
        <v>Barrier</v>
      </c>
      <c r="AN140" s="116" t="s">
        <v>398</v>
      </c>
      <c r="AO140" s="114">
        <v>3</v>
      </c>
      <c r="AP140" s="25" t="s">
        <v>316</v>
      </c>
    </row>
    <row r="141" spans="1:42" ht="30" x14ac:dyDescent="0.25">
      <c r="A141" s="82">
        <v>44445</v>
      </c>
      <c r="B141" s="76"/>
      <c r="C141" s="25">
        <v>14000377</v>
      </c>
      <c r="D141" s="116" t="s">
        <v>170</v>
      </c>
      <c r="E141" s="77">
        <v>9</v>
      </c>
      <c r="F141" s="78">
        <v>606924.06753836304</v>
      </c>
      <c r="G141" s="79">
        <v>6020704.0112595903</v>
      </c>
      <c r="H141" s="77" t="s">
        <v>317</v>
      </c>
      <c r="I141" s="77" t="s">
        <v>143</v>
      </c>
      <c r="J141" s="80"/>
      <c r="K141" s="77" t="s">
        <v>383</v>
      </c>
      <c r="L141" s="25" t="s">
        <v>99</v>
      </c>
      <c r="M141" s="25" t="s">
        <v>100</v>
      </c>
      <c r="N141" s="114">
        <v>0.9</v>
      </c>
      <c r="O141" s="114">
        <v>24</v>
      </c>
      <c r="P141" s="116" t="s">
        <v>101</v>
      </c>
      <c r="Q141" s="122"/>
      <c r="R141" s="116" t="s">
        <v>101</v>
      </c>
      <c r="S141" s="116" t="s">
        <v>101</v>
      </c>
      <c r="T141" s="122"/>
      <c r="U141" s="114">
        <v>4.5</v>
      </c>
      <c r="V141" s="116">
        <v>1.1000000000000001</v>
      </c>
      <c r="W141" s="114">
        <v>0.55000000000000004</v>
      </c>
      <c r="X141" s="116" t="s">
        <v>104</v>
      </c>
      <c r="Y141" s="114">
        <v>6</v>
      </c>
      <c r="Z141" s="114">
        <v>1.9</v>
      </c>
      <c r="AA141" s="116">
        <v>8</v>
      </c>
      <c r="AB141" s="25" t="s">
        <v>101</v>
      </c>
      <c r="AC141" s="25" t="s">
        <v>104</v>
      </c>
      <c r="AD141" s="116" t="s">
        <v>102</v>
      </c>
      <c r="AE141" s="116" t="s">
        <v>110</v>
      </c>
      <c r="AF141" s="22">
        <f t="shared" si="25"/>
        <v>2.1111111111111112</v>
      </c>
      <c r="AG141" s="15">
        <f t="shared" si="18"/>
        <v>3</v>
      </c>
      <c r="AH141" s="7">
        <f t="shared" si="19"/>
        <v>10</v>
      </c>
      <c r="AI141" s="7">
        <f t="shared" si="20"/>
        <v>10</v>
      </c>
      <c r="AJ141" s="7">
        <f t="shared" si="21"/>
        <v>10</v>
      </c>
      <c r="AK141" s="12">
        <f t="shared" si="22"/>
        <v>6</v>
      </c>
      <c r="AL141" s="14">
        <f t="shared" si="24"/>
        <v>39</v>
      </c>
      <c r="AM141" s="16" t="str">
        <f t="shared" si="23"/>
        <v>Barrier</v>
      </c>
      <c r="AN141" s="116" t="s">
        <v>398</v>
      </c>
      <c r="AO141" s="114">
        <v>3</v>
      </c>
      <c r="AP141" s="10" t="s">
        <v>318</v>
      </c>
    </row>
    <row r="142" spans="1:42" ht="30" x14ac:dyDescent="0.25">
      <c r="A142" s="82">
        <v>44445</v>
      </c>
      <c r="B142" s="76"/>
      <c r="C142" s="25">
        <v>14000375</v>
      </c>
      <c r="D142" s="116" t="s">
        <v>170</v>
      </c>
      <c r="E142" s="77">
        <v>9</v>
      </c>
      <c r="F142" s="78">
        <v>605796.55485811306</v>
      </c>
      <c r="G142" s="79">
        <v>6016996.6893096296</v>
      </c>
      <c r="H142" s="77" t="s">
        <v>142</v>
      </c>
      <c r="I142" s="77" t="s">
        <v>143</v>
      </c>
      <c r="J142" s="80"/>
      <c r="K142" s="77" t="s">
        <v>383</v>
      </c>
      <c r="L142" s="25" t="s">
        <v>99</v>
      </c>
      <c r="M142" s="25" t="s">
        <v>100</v>
      </c>
      <c r="N142" s="114">
        <v>0.6</v>
      </c>
      <c r="O142" s="114">
        <v>11.5</v>
      </c>
      <c r="P142" s="116" t="s">
        <v>101</v>
      </c>
      <c r="Q142" s="122"/>
      <c r="R142" s="116" t="s">
        <v>101</v>
      </c>
      <c r="S142" s="116" t="s">
        <v>101</v>
      </c>
      <c r="T142" s="122"/>
      <c r="U142" s="114">
        <v>0.3</v>
      </c>
      <c r="V142" s="116">
        <v>0</v>
      </c>
      <c r="W142" s="114">
        <v>0</v>
      </c>
      <c r="X142" s="116" t="s">
        <v>101</v>
      </c>
      <c r="Y142" s="114">
        <v>2</v>
      </c>
      <c r="Z142" s="114">
        <v>0.65</v>
      </c>
      <c r="AA142" s="116">
        <v>4.5</v>
      </c>
      <c r="AB142" s="25" t="s">
        <v>101</v>
      </c>
      <c r="AC142" s="25" t="s">
        <v>101</v>
      </c>
      <c r="AD142" s="116" t="s">
        <v>102</v>
      </c>
      <c r="AE142" s="116" t="s">
        <v>103</v>
      </c>
      <c r="AF142" s="22">
        <f t="shared" si="25"/>
        <v>1.0833333333333335</v>
      </c>
      <c r="AG142" s="15">
        <f t="shared" si="18"/>
        <v>0</v>
      </c>
      <c r="AH142" s="7">
        <f t="shared" si="19"/>
        <v>10</v>
      </c>
      <c r="AI142" s="7">
        <f t="shared" si="20"/>
        <v>0</v>
      </c>
      <c r="AJ142" s="7">
        <f t="shared" si="21"/>
        <v>5</v>
      </c>
      <c r="AK142" s="12">
        <f t="shared" si="22"/>
        <v>3</v>
      </c>
      <c r="AL142" s="14">
        <f t="shared" si="24"/>
        <v>18</v>
      </c>
      <c r="AM142" s="16" t="str">
        <f t="shared" si="23"/>
        <v>Potential</v>
      </c>
      <c r="AN142" s="116" t="s">
        <v>398</v>
      </c>
      <c r="AO142" s="114">
        <v>3</v>
      </c>
      <c r="AP142" s="25" t="s">
        <v>540</v>
      </c>
    </row>
    <row r="143" spans="1:42" ht="30" x14ac:dyDescent="0.25">
      <c r="A143" s="82">
        <v>44445</v>
      </c>
      <c r="B143" s="76"/>
      <c r="C143" s="25">
        <v>14000382</v>
      </c>
      <c r="D143" s="116" t="s">
        <v>170</v>
      </c>
      <c r="E143" s="77">
        <v>9</v>
      </c>
      <c r="F143" s="78">
        <v>604924.01018593996</v>
      </c>
      <c r="G143" s="79">
        <v>6014325.4610070102</v>
      </c>
      <c r="H143" s="77" t="s">
        <v>142</v>
      </c>
      <c r="I143" s="77" t="s">
        <v>143</v>
      </c>
      <c r="J143" s="80"/>
      <c r="K143" s="77" t="s">
        <v>383</v>
      </c>
      <c r="L143" s="25" t="s">
        <v>99</v>
      </c>
      <c r="M143" s="25" t="s">
        <v>100</v>
      </c>
      <c r="N143" s="114">
        <v>0.6</v>
      </c>
      <c r="O143" s="114">
        <v>11</v>
      </c>
      <c r="P143" s="116" t="s">
        <v>101</v>
      </c>
      <c r="Q143" s="122"/>
      <c r="R143" s="116" t="s">
        <v>101</v>
      </c>
      <c r="S143" s="116" t="s">
        <v>101</v>
      </c>
      <c r="T143" s="122"/>
      <c r="U143" s="114">
        <v>1</v>
      </c>
      <c r="V143" s="116">
        <v>0.17</v>
      </c>
      <c r="W143" s="114">
        <v>0.48</v>
      </c>
      <c r="X143" s="116" t="s">
        <v>101</v>
      </c>
      <c r="Y143" s="114">
        <v>3</v>
      </c>
      <c r="Z143" s="114">
        <v>0.7</v>
      </c>
      <c r="AA143" s="116">
        <v>4</v>
      </c>
      <c r="AB143" s="25" t="s">
        <v>101</v>
      </c>
      <c r="AC143" s="25" t="s">
        <v>101</v>
      </c>
      <c r="AD143" s="116" t="s">
        <v>102</v>
      </c>
      <c r="AE143" s="116" t="s">
        <v>103</v>
      </c>
      <c r="AF143" s="22">
        <f t="shared" si="25"/>
        <v>1.1666666666666667</v>
      </c>
      <c r="AG143" s="15">
        <f t="shared" si="18"/>
        <v>0</v>
      </c>
      <c r="AH143" s="7">
        <f t="shared" si="19"/>
        <v>10</v>
      </c>
      <c r="AI143" s="7">
        <f t="shared" si="20"/>
        <v>5</v>
      </c>
      <c r="AJ143" s="7">
        <f t="shared" si="21"/>
        <v>10</v>
      </c>
      <c r="AK143" s="12">
        <f t="shared" si="22"/>
        <v>3</v>
      </c>
      <c r="AL143" s="14">
        <f t="shared" si="24"/>
        <v>28</v>
      </c>
      <c r="AM143" s="16" t="str">
        <f t="shared" si="23"/>
        <v>Barrier</v>
      </c>
      <c r="AN143" s="116" t="s">
        <v>398</v>
      </c>
      <c r="AO143" s="114">
        <v>3</v>
      </c>
      <c r="AP143" s="25" t="s">
        <v>541</v>
      </c>
    </row>
    <row r="144" spans="1:42" ht="30" x14ac:dyDescent="0.25">
      <c r="A144" s="82">
        <v>44445</v>
      </c>
      <c r="B144" s="76"/>
      <c r="C144" s="25">
        <v>14000379</v>
      </c>
      <c r="D144" s="25" t="s">
        <v>170</v>
      </c>
      <c r="E144" s="77">
        <v>9</v>
      </c>
      <c r="F144" s="78">
        <v>604834.913222217</v>
      </c>
      <c r="G144" s="79">
        <v>6012765.8831543298</v>
      </c>
      <c r="H144" s="77" t="s">
        <v>142</v>
      </c>
      <c r="I144" s="77" t="s">
        <v>143</v>
      </c>
      <c r="J144" s="80"/>
      <c r="K144" s="77" t="s">
        <v>381</v>
      </c>
      <c r="L144" s="25" t="s">
        <v>99</v>
      </c>
      <c r="M144" s="25" t="s">
        <v>100</v>
      </c>
      <c r="N144" s="114">
        <v>0.9</v>
      </c>
      <c r="O144" s="114">
        <v>28</v>
      </c>
      <c r="P144" s="116" t="s">
        <v>101</v>
      </c>
      <c r="Q144" s="122"/>
      <c r="R144" s="116" t="s">
        <v>101</v>
      </c>
      <c r="S144" s="116" t="s">
        <v>101</v>
      </c>
      <c r="T144" s="122"/>
      <c r="U144" s="114">
        <v>5</v>
      </c>
      <c r="V144" s="116">
        <v>1.6</v>
      </c>
      <c r="W144" s="114">
        <v>0.4</v>
      </c>
      <c r="X144" s="116" t="s">
        <v>101</v>
      </c>
      <c r="Y144" s="114">
        <v>5</v>
      </c>
      <c r="Z144" s="114">
        <v>1.1000000000000001</v>
      </c>
      <c r="AA144" s="116">
        <v>5</v>
      </c>
      <c r="AB144" s="25" t="s">
        <v>101</v>
      </c>
      <c r="AC144" s="25" t="s">
        <v>101</v>
      </c>
      <c r="AD144" s="116" t="s">
        <v>102</v>
      </c>
      <c r="AE144" s="116" t="s">
        <v>103</v>
      </c>
      <c r="AF144" s="22">
        <f t="shared" si="25"/>
        <v>1.2222222222222223</v>
      </c>
      <c r="AG144" s="15">
        <f t="shared" si="18"/>
        <v>3</v>
      </c>
      <c r="AH144" s="7">
        <f t="shared" si="19"/>
        <v>10</v>
      </c>
      <c r="AI144" s="7">
        <f t="shared" si="20"/>
        <v>10</v>
      </c>
      <c r="AJ144" s="7">
        <f t="shared" si="21"/>
        <v>10</v>
      </c>
      <c r="AK144" s="12">
        <f t="shared" si="22"/>
        <v>3</v>
      </c>
      <c r="AL144" s="14">
        <f t="shared" si="24"/>
        <v>36</v>
      </c>
      <c r="AM144" s="16" t="str">
        <f t="shared" si="23"/>
        <v>Barrier</v>
      </c>
      <c r="AN144" s="116" t="s">
        <v>398</v>
      </c>
      <c r="AO144" s="114">
        <v>3</v>
      </c>
      <c r="AP144" s="25" t="s">
        <v>319</v>
      </c>
    </row>
    <row r="145" spans="1:42" ht="30" x14ac:dyDescent="0.25">
      <c r="A145" s="117">
        <v>44447</v>
      </c>
      <c r="B145" s="76"/>
      <c r="C145" s="25">
        <v>14000882</v>
      </c>
      <c r="D145" s="25" t="s">
        <v>170</v>
      </c>
      <c r="E145" s="77">
        <v>9</v>
      </c>
      <c r="F145" s="78">
        <v>607215.93883728306</v>
      </c>
      <c r="G145" s="79">
        <v>5997193.9998050099</v>
      </c>
      <c r="H145" s="77" t="s">
        <v>122</v>
      </c>
      <c r="I145" s="77" t="s">
        <v>121</v>
      </c>
      <c r="J145" s="80">
        <v>28.75</v>
      </c>
      <c r="K145" s="77" t="s">
        <v>384</v>
      </c>
      <c r="L145" s="25" t="s">
        <v>99</v>
      </c>
      <c r="M145" s="25" t="s">
        <v>100</v>
      </c>
      <c r="N145" s="114">
        <v>0.9</v>
      </c>
      <c r="O145" s="114">
        <v>13.5</v>
      </c>
      <c r="P145" s="116" t="s">
        <v>101</v>
      </c>
      <c r="Q145" s="122"/>
      <c r="R145" s="116" t="s">
        <v>101</v>
      </c>
      <c r="S145" s="116" t="s">
        <v>104</v>
      </c>
      <c r="T145" s="114">
        <v>100</v>
      </c>
      <c r="U145" s="114">
        <v>0.5</v>
      </c>
      <c r="V145" s="116">
        <v>0</v>
      </c>
      <c r="W145" s="114">
        <v>0</v>
      </c>
      <c r="X145" s="116" t="s">
        <v>101</v>
      </c>
      <c r="Y145" s="114">
        <v>1</v>
      </c>
      <c r="Z145" s="114">
        <v>0.9</v>
      </c>
      <c r="AA145" s="116">
        <v>0.5</v>
      </c>
      <c r="AB145" s="25" t="s">
        <v>104</v>
      </c>
      <c r="AC145" s="25" t="s">
        <v>104</v>
      </c>
      <c r="AD145" s="116" t="s">
        <v>102</v>
      </c>
      <c r="AE145" s="116" t="s">
        <v>110</v>
      </c>
      <c r="AF145" s="22">
        <f t="shared" si="25"/>
        <v>1</v>
      </c>
      <c r="AG145" s="15">
        <f t="shared" si="18"/>
        <v>0</v>
      </c>
      <c r="AH145" s="7">
        <f t="shared" si="19"/>
        <v>10</v>
      </c>
      <c r="AI145" s="7">
        <f t="shared" si="20"/>
        <v>0</v>
      </c>
      <c r="AJ145" s="7">
        <f t="shared" si="21"/>
        <v>5</v>
      </c>
      <c r="AK145" s="12">
        <f t="shared" si="22"/>
        <v>3</v>
      </c>
      <c r="AL145" s="14">
        <f t="shared" si="24"/>
        <v>18</v>
      </c>
      <c r="AM145" s="16" t="str">
        <f t="shared" si="23"/>
        <v>Potential</v>
      </c>
      <c r="AN145" s="116" t="s">
        <v>398</v>
      </c>
      <c r="AO145" s="114">
        <v>3</v>
      </c>
      <c r="AP145" s="25" t="s">
        <v>320</v>
      </c>
    </row>
    <row r="146" spans="1:42" x14ac:dyDescent="0.25">
      <c r="A146" s="117">
        <v>44451</v>
      </c>
      <c r="B146" s="76"/>
      <c r="C146" s="25">
        <v>1802760</v>
      </c>
      <c r="D146" s="25" t="s">
        <v>170</v>
      </c>
      <c r="E146" s="77">
        <v>9</v>
      </c>
      <c r="F146" s="78">
        <v>640551.18677593698</v>
      </c>
      <c r="G146" s="79">
        <v>6053250.4737340296</v>
      </c>
      <c r="H146" s="77" t="s">
        <v>126</v>
      </c>
      <c r="I146" s="77" t="s">
        <v>121</v>
      </c>
      <c r="J146" s="80"/>
      <c r="K146" s="77" t="s">
        <v>362</v>
      </c>
      <c r="L146" s="25" t="s">
        <v>95</v>
      </c>
      <c r="M146" s="25" t="s">
        <v>96</v>
      </c>
      <c r="N146" s="114">
        <v>11</v>
      </c>
      <c r="O146" s="114">
        <v>3</v>
      </c>
      <c r="P146" s="121"/>
      <c r="Q146" s="122"/>
      <c r="R146" s="121"/>
      <c r="S146" s="121"/>
      <c r="T146" s="122"/>
      <c r="U146" s="122"/>
      <c r="V146" s="121"/>
      <c r="W146" s="122"/>
      <c r="X146" s="121"/>
      <c r="Y146" s="122"/>
      <c r="Z146" s="122"/>
      <c r="AA146" s="121"/>
      <c r="AB146" s="25"/>
      <c r="AC146" s="25"/>
      <c r="AD146" s="121"/>
      <c r="AE146" s="121"/>
      <c r="AF146" s="22">
        <f t="shared" si="25"/>
        <v>0</v>
      </c>
      <c r="AG146" s="15">
        <f t="shared" si="18"/>
        <v>0</v>
      </c>
      <c r="AH146" s="7">
        <f t="shared" si="19"/>
        <v>0</v>
      </c>
      <c r="AI146" s="7">
        <f t="shared" si="20"/>
        <v>0</v>
      </c>
      <c r="AJ146" s="7">
        <f t="shared" si="21"/>
        <v>0</v>
      </c>
      <c r="AK146" s="12">
        <f t="shared" si="22"/>
        <v>0</v>
      </c>
      <c r="AL146" s="14">
        <f t="shared" si="24"/>
        <v>0</v>
      </c>
      <c r="AM146" s="16" t="str">
        <f t="shared" si="23"/>
        <v>Passable</v>
      </c>
      <c r="AN146" s="121"/>
      <c r="AO146" s="122"/>
      <c r="AP146" s="25" t="s">
        <v>321</v>
      </c>
    </row>
    <row r="147" spans="1:42" ht="30" x14ac:dyDescent="0.25">
      <c r="A147" s="82">
        <v>44451</v>
      </c>
      <c r="B147" s="76"/>
      <c r="C147" s="25">
        <v>1805553</v>
      </c>
      <c r="D147" s="25" t="s">
        <v>170</v>
      </c>
      <c r="E147" s="77">
        <v>9</v>
      </c>
      <c r="F147" s="78">
        <v>611695.83970857004</v>
      </c>
      <c r="G147" s="79">
        <v>6082109.1016183002</v>
      </c>
      <c r="H147" s="77" t="s">
        <v>395</v>
      </c>
      <c r="I147" s="77" t="s">
        <v>94</v>
      </c>
      <c r="J147" s="80"/>
      <c r="K147" s="77" t="s">
        <v>361</v>
      </c>
      <c r="L147" s="25" t="s">
        <v>99</v>
      </c>
      <c r="M147" s="25" t="s">
        <v>322</v>
      </c>
      <c r="N147" s="114">
        <v>2.8</v>
      </c>
      <c r="O147" s="114">
        <v>14.5</v>
      </c>
      <c r="P147" s="116" t="s">
        <v>104</v>
      </c>
      <c r="Q147" s="114">
        <v>0.1</v>
      </c>
      <c r="R147" s="116" t="s">
        <v>104</v>
      </c>
      <c r="S147" s="116" t="s">
        <v>101</v>
      </c>
      <c r="T147" s="122"/>
      <c r="U147" s="114">
        <v>0.5</v>
      </c>
      <c r="V147" s="116">
        <v>0</v>
      </c>
      <c r="W147" s="114">
        <v>0</v>
      </c>
      <c r="X147" s="116" t="s">
        <v>101</v>
      </c>
      <c r="Y147" s="114">
        <v>0.25</v>
      </c>
      <c r="Z147" s="114">
        <v>11.5</v>
      </c>
      <c r="AA147" s="116">
        <v>0.25</v>
      </c>
      <c r="AB147" s="25" t="s">
        <v>104</v>
      </c>
      <c r="AC147" s="25" t="s">
        <v>101</v>
      </c>
      <c r="AD147" s="116" t="s">
        <v>102</v>
      </c>
      <c r="AE147" s="116" t="s">
        <v>139</v>
      </c>
      <c r="AF147" s="22">
        <f t="shared" si="25"/>
        <v>4.1071428571428577</v>
      </c>
      <c r="AG147" s="15">
        <f t="shared" si="18"/>
        <v>0</v>
      </c>
      <c r="AH147" s="7">
        <f t="shared" si="19"/>
        <v>5</v>
      </c>
      <c r="AI147" s="7">
        <f t="shared" si="20"/>
        <v>0</v>
      </c>
      <c r="AJ147" s="7">
        <f t="shared" si="21"/>
        <v>0</v>
      </c>
      <c r="AK147" s="12">
        <f t="shared" si="22"/>
        <v>6</v>
      </c>
      <c r="AL147" s="14">
        <f t="shared" si="24"/>
        <v>11</v>
      </c>
      <c r="AM147" s="16" t="str">
        <f t="shared" si="23"/>
        <v>Passable</v>
      </c>
      <c r="AN147" s="121"/>
      <c r="AO147" s="122"/>
      <c r="AP147" s="25" t="s">
        <v>323</v>
      </c>
    </row>
    <row r="148" spans="1:42" x14ac:dyDescent="0.25">
      <c r="A148" s="82">
        <v>44453</v>
      </c>
      <c r="B148" s="76"/>
      <c r="C148" s="25">
        <v>24704568</v>
      </c>
      <c r="D148" s="25" t="s">
        <v>170</v>
      </c>
      <c r="E148" s="77">
        <v>9</v>
      </c>
      <c r="F148" s="78">
        <v>605738.68243469996</v>
      </c>
      <c r="G148" s="79">
        <v>6096763.1696220497</v>
      </c>
      <c r="H148" s="77" t="s">
        <v>128</v>
      </c>
      <c r="I148" s="77" t="s">
        <v>129</v>
      </c>
      <c r="J148" s="80"/>
      <c r="K148" s="77" t="s">
        <v>366</v>
      </c>
      <c r="L148" s="25" t="s">
        <v>112</v>
      </c>
      <c r="M148" s="25" t="s">
        <v>113</v>
      </c>
      <c r="N148" s="122"/>
      <c r="O148" s="122"/>
      <c r="P148" s="121"/>
      <c r="Q148" s="122"/>
      <c r="R148" s="121"/>
      <c r="S148" s="121"/>
      <c r="T148" s="122"/>
      <c r="U148" s="122"/>
      <c r="V148" s="121"/>
      <c r="W148" s="122"/>
      <c r="X148" s="121"/>
      <c r="Y148" s="122"/>
      <c r="Z148" s="122"/>
      <c r="AA148" s="121"/>
      <c r="AB148" s="25"/>
      <c r="AC148" s="25"/>
      <c r="AD148" s="121"/>
      <c r="AE148" s="121"/>
      <c r="AF148" s="22">
        <f t="shared" si="25"/>
        <v>0</v>
      </c>
      <c r="AG148" s="15">
        <f t="shared" si="18"/>
        <v>0</v>
      </c>
      <c r="AH148" s="7">
        <f t="shared" si="19"/>
        <v>0</v>
      </c>
      <c r="AI148" s="7">
        <f t="shared" si="20"/>
        <v>0</v>
      </c>
      <c r="AJ148" s="7">
        <f t="shared" si="21"/>
        <v>0</v>
      </c>
      <c r="AK148" s="12">
        <f t="shared" si="22"/>
        <v>0</v>
      </c>
      <c r="AL148" s="14">
        <f t="shared" si="24"/>
        <v>0</v>
      </c>
      <c r="AM148" s="16" t="str">
        <f t="shared" si="23"/>
        <v>Unknown</v>
      </c>
      <c r="AN148" s="116"/>
      <c r="AO148" s="114"/>
      <c r="AP148" s="25" t="s">
        <v>324</v>
      </c>
    </row>
    <row r="149" spans="1:42" ht="30" x14ac:dyDescent="0.25">
      <c r="A149" s="117">
        <v>44454</v>
      </c>
      <c r="B149" s="76"/>
      <c r="C149" s="125">
        <v>1805573</v>
      </c>
      <c r="D149" s="125" t="s">
        <v>170</v>
      </c>
      <c r="E149" s="77">
        <v>9</v>
      </c>
      <c r="F149" s="78">
        <v>610392.940857657</v>
      </c>
      <c r="G149" s="79">
        <v>6084972.5596693195</v>
      </c>
      <c r="H149" s="77" t="s">
        <v>130</v>
      </c>
      <c r="I149" s="77" t="s">
        <v>246</v>
      </c>
      <c r="J149" s="80"/>
      <c r="K149" s="77" t="s">
        <v>361</v>
      </c>
      <c r="L149" s="125" t="s">
        <v>99</v>
      </c>
      <c r="M149" s="25" t="s">
        <v>100</v>
      </c>
      <c r="N149" s="114">
        <v>0.1</v>
      </c>
      <c r="O149" s="114">
        <v>15</v>
      </c>
      <c r="P149" s="125" t="s">
        <v>101</v>
      </c>
      <c r="Q149" s="127"/>
      <c r="R149" s="125" t="s">
        <v>101</v>
      </c>
      <c r="S149" s="125" t="s">
        <v>101</v>
      </c>
      <c r="T149" s="127"/>
      <c r="U149" s="114">
        <v>2</v>
      </c>
      <c r="V149" s="125">
        <v>0</v>
      </c>
      <c r="W149" s="114">
        <v>0</v>
      </c>
      <c r="X149" s="125" t="s">
        <v>101</v>
      </c>
      <c r="Y149" s="114">
        <v>3</v>
      </c>
      <c r="Z149" s="114">
        <v>2</v>
      </c>
      <c r="AA149" s="125">
        <v>1</v>
      </c>
      <c r="AB149" s="25" t="s">
        <v>101</v>
      </c>
      <c r="AC149" s="25" t="s">
        <v>101</v>
      </c>
      <c r="AD149" s="125" t="s">
        <v>102</v>
      </c>
      <c r="AE149" s="125" t="s">
        <v>103</v>
      </c>
      <c r="AF149" s="22">
        <f t="shared" si="25"/>
        <v>20</v>
      </c>
      <c r="AG149" s="15">
        <f t="shared" si="18"/>
        <v>3</v>
      </c>
      <c r="AH149" s="7">
        <f t="shared" si="19"/>
        <v>10</v>
      </c>
      <c r="AI149" s="7">
        <f t="shared" si="20"/>
        <v>0</v>
      </c>
      <c r="AJ149" s="7">
        <f t="shared" si="21"/>
        <v>10</v>
      </c>
      <c r="AK149" s="12">
        <f t="shared" si="22"/>
        <v>6</v>
      </c>
      <c r="AL149" s="14">
        <f t="shared" si="24"/>
        <v>29</v>
      </c>
      <c r="AM149" s="16" t="str">
        <f t="shared" si="23"/>
        <v>Barrier</v>
      </c>
      <c r="AN149" s="125" t="s">
        <v>398</v>
      </c>
      <c r="AO149" s="114">
        <v>3</v>
      </c>
      <c r="AP149" s="125" t="s">
        <v>401</v>
      </c>
    </row>
    <row r="150" spans="1:42" ht="30" x14ac:dyDescent="0.25">
      <c r="A150" s="82">
        <v>44454</v>
      </c>
      <c r="B150" s="76"/>
      <c r="C150" s="25">
        <v>1805549</v>
      </c>
      <c r="D150" s="25" t="s">
        <v>125</v>
      </c>
      <c r="E150" s="77">
        <v>9</v>
      </c>
      <c r="F150" s="78">
        <v>611345.12838114204</v>
      </c>
      <c r="G150" s="79">
        <v>6083669.2866113903</v>
      </c>
      <c r="H150" s="77" t="s">
        <v>131</v>
      </c>
      <c r="I150" s="77" t="s">
        <v>94</v>
      </c>
      <c r="J150" s="80"/>
      <c r="K150" s="77" t="s">
        <v>361</v>
      </c>
      <c r="L150" s="25" t="s">
        <v>95</v>
      </c>
      <c r="M150" s="25" t="s">
        <v>96</v>
      </c>
      <c r="N150" s="114">
        <v>13</v>
      </c>
      <c r="O150" s="114">
        <v>6</v>
      </c>
      <c r="P150" s="121"/>
      <c r="Q150" s="122"/>
      <c r="R150" s="121"/>
      <c r="S150" s="121"/>
      <c r="T150" s="122"/>
      <c r="U150" s="122"/>
      <c r="V150" s="121"/>
      <c r="W150" s="122"/>
      <c r="X150" s="121"/>
      <c r="Y150" s="122"/>
      <c r="Z150" s="122"/>
      <c r="AA150" s="121"/>
      <c r="AB150" s="25"/>
      <c r="AC150" s="25"/>
      <c r="AD150" s="121"/>
      <c r="AE150" s="121"/>
      <c r="AF150" s="22">
        <f t="shared" si="25"/>
        <v>0</v>
      </c>
      <c r="AG150" s="15">
        <f t="shared" si="18"/>
        <v>0</v>
      </c>
      <c r="AH150" s="7">
        <f t="shared" si="19"/>
        <v>0</v>
      </c>
      <c r="AI150" s="7">
        <f t="shared" si="20"/>
        <v>0</v>
      </c>
      <c r="AJ150" s="7">
        <f t="shared" si="21"/>
        <v>0</v>
      </c>
      <c r="AK150" s="12">
        <f t="shared" si="22"/>
        <v>0</v>
      </c>
      <c r="AL150" s="14">
        <f t="shared" si="24"/>
        <v>0</v>
      </c>
      <c r="AM150" s="16" t="str">
        <f t="shared" si="23"/>
        <v>Passable</v>
      </c>
      <c r="AN150" s="121"/>
      <c r="AO150" s="122"/>
      <c r="AP150" s="25" t="s">
        <v>223</v>
      </c>
    </row>
    <row r="151" spans="1:42" ht="30" x14ac:dyDescent="0.25">
      <c r="A151" s="82">
        <v>44455</v>
      </c>
      <c r="B151" s="76"/>
      <c r="C151" s="25">
        <v>2021091650</v>
      </c>
      <c r="D151" s="25" t="s">
        <v>125</v>
      </c>
      <c r="E151" s="77">
        <v>9</v>
      </c>
      <c r="F151" s="78">
        <v>589659</v>
      </c>
      <c r="G151" s="79">
        <v>6123249</v>
      </c>
      <c r="H151" s="77" t="s">
        <v>132</v>
      </c>
      <c r="I151" s="77"/>
      <c r="J151" s="80"/>
      <c r="K151" s="77" t="s">
        <v>366</v>
      </c>
      <c r="L151" s="25" t="s">
        <v>95</v>
      </c>
      <c r="M151" s="25" t="s">
        <v>96</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t="s">
        <v>205</v>
      </c>
    </row>
    <row r="152" spans="1:42" x14ac:dyDescent="0.25">
      <c r="A152" s="117">
        <v>44455</v>
      </c>
      <c r="B152" s="76"/>
      <c r="C152" s="25">
        <v>1801773</v>
      </c>
      <c r="D152" s="25" t="s">
        <v>133</v>
      </c>
      <c r="E152" s="77">
        <v>9</v>
      </c>
      <c r="F152" s="78">
        <v>603432.06718665105</v>
      </c>
      <c r="G152" s="79">
        <v>6107843.9834960802</v>
      </c>
      <c r="H152" s="77" t="s">
        <v>134</v>
      </c>
      <c r="I152" s="77" t="s">
        <v>135</v>
      </c>
      <c r="J152" s="80"/>
      <c r="K152" s="77" t="s">
        <v>362</v>
      </c>
      <c r="L152" s="25" t="s">
        <v>112</v>
      </c>
      <c r="M152" s="25" t="s">
        <v>113</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136</v>
      </c>
    </row>
    <row r="153" spans="1:42" ht="30" x14ac:dyDescent="0.25">
      <c r="A153" s="82">
        <v>44444</v>
      </c>
      <c r="B153" s="76"/>
      <c r="C153" s="25">
        <v>1800048</v>
      </c>
      <c r="D153" s="25" t="s">
        <v>125</v>
      </c>
      <c r="E153" s="77">
        <v>9</v>
      </c>
      <c r="F153" s="78">
        <v>674397.136056341</v>
      </c>
      <c r="G153" s="79">
        <v>6043432.5314838402</v>
      </c>
      <c r="H153" s="77" t="s">
        <v>137</v>
      </c>
      <c r="I153" s="77" t="s">
        <v>141</v>
      </c>
      <c r="J153" s="80"/>
      <c r="K153" s="77" t="s">
        <v>385</v>
      </c>
      <c r="L153" s="25" t="s">
        <v>99</v>
      </c>
      <c r="M153" s="25" t="s">
        <v>100</v>
      </c>
      <c r="N153" s="114">
        <v>2.5</v>
      </c>
      <c r="O153" s="114">
        <v>25.13</v>
      </c>
      <c r="P153" s="116" t="s">
        <v>101</v>
      </c>
      <c r="Q153" s="122"/>
      <c r="R153" s="116" t="s">
        <v>101</v>
      </c>
      <c r="S153" s="116" t="s">
        <v>104</v>
      </c>
      <c r="T153" s="114">
        <v>30</v>
      </c>
      <c r="U153" s="114">
        <v>1</v>
      </c>
      <c r="V153" s="116">
        <v>0</v>
      </c>
      <c r="W153" s="114">
        <v>0.09</v>
      </c>
      <c r="X153" s="116" t="s">
        <v>104</v>
      </c>
      <c r="Y153" s="114">
        <v>1.52</v>
      </c>
      <c r="Z153" s="114">
        <v>5.48</v>
      </c>
      <c r="AA153" s="116">
        <v>3.5</v>
      </c>
      <c r="AB153" s="25" t="s">
        <v>101</v>
      </c>
      <c r="AC153" s="25" t="s">
        <v>104</v>
      </c>
      <c r="AD153" s="116" t="s">
        <v>102</v>
      </c>
      <c r="AE153" s="116" t="s">
        <v>139</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t="s">
        <v>399</v>
      </c>
      <c r="AO153" s="114">
        <v>10</v>
      </c>
      <c r="AP153" s="25" t="s">
        <v>207</v>
      </c>
    </row>
    <row r="154" spans="1:42" ht="30" x14ac:dyDescent="0.25">
      <c r="A154" s="117">
        <v>44444</v>
      </c>
      <c r="B154" s="76"/>
      <c r="C154" s="25">
        <v>1800193</v>
      </c>
      <c r="D154" s="25" t="s">
        <v>97</v>
      </c>
      <c r="E154" s="77">
        <v>9</v>
      </c>
      <c r="F154" s="78">
        <v>674875.41850711498</v>
      </c>
      <c r="G154" s="79">
        <v>6043782.0355301201</v>
      </c>
      <c r="H154" s="77" t="s">
        <v>137</v>
      </c>
      <c r="I154" s="77" t="s">
        <v>138</v>
      </c>
      <c r="J154" s="80"/>
      <c r="K154" s="77" t="s">
        <v>385</v>
      </c>
      <c r="L154" s="25" t="s">
        <v>99</v>
      </c>
      <c r="M154" s="25" t="s">
        <v>100</v>
      </c>
      <c r="N154" s="114">
        <v>3.7</v>
      </c>
      <c r="O154" s="114">
        <v>20.89</v>
      </c>
      <c r="P154" s="116" t="s">
        <v>101</v>
      </c>
      <c r="Q154" s="122"/>
      <c r="R154" s="116" t="s">
        <v>101</v>
      </c>
      <c r="S154" s="116" t="s">
        <v>101</v>
      </c>
      <c r="T154" s="122"/>
      <c r="U154" s="114">
        <v>1</v>
      </c>
      <c r="V154" s="116">
        <v>0.5</v>
      </c>
      <c r="W154" s="114">
        <v>0.25</v>
      </c>
      <c r="X154" s="116" t="s">
        <v>101</v>
      </c>
      <c r="Y154" s="114">
        <v>1.46</v>
      </c>
      <c r="Z154" s="114">
        <v>4.9000000000000004</v>
      </c>
      <c r="AA154" s="116">
        <v>2.83</v>
      </c>
      <c r="AB154" s="25" t="s">
        <v>101</v>
      </c>
      <c r="AC154" s="25" t="s">
        <v>104</v>
      </c>
      <c r="AD154" s="116" t="s">
        <v>102</v>
      </c>
      <c r="AE154" s="116" t="s">
        <v>139</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t="s">
        <v>399</v>
      </c>
      <c r="AO154" s="114">
        <v>10</v>
      </c>
      <c r="AP154" s="25" t="s">
        <v>208</v>
      </c>
    </row>
    <row r="155" spans="1:42" ht="30" x14ac:dyDescent="0.25">
      <c r="A155" s="82">
        <v>44445</v>
      </c>
      <c r="B155" s="76"/>
      <c r="C155" s="25">
        <v>14000394</v>
      </c>
      <c r="D155" s="25" t="s">
        <v>92</v>
      </c>
      <c r="E155" s="77">
        <v>9</v>
      </c>
      <c r="F155" s="78">
        <v>604924.24307021999</v>
      </c>
      <c r="G155" s="79">
        <v>6012911.8518746197</v>
      </c>
      <c r="H155" s="77" t="s">
        <v>142</v>
      </c>
      <c r="I155" s="77" t="s">
        <v>143</v>
      </c>
      <c r="J155" s="80"/>
      <c r="K155" s="77" t="s">
        <v>383</v>
      </c>
      <c r="L155" s="25" t="s">
        <v>99</v>
      </c>
      <c r="M155" s="25" t="s">
        <v>100</v>
      </c>
      <c r="N155" s="114">
        <v>0.9</v>
      </c>
      <c r="O155" s="114">
        <v>20</v>
      </c>
      <c r="P155" s="116" t="s">
        <v>101</v>
      </c>
      <c r="Q155" s="122"/>
      <c r="R155" s="116"/>
      <c r="S155" s="116" t="s">
        <v>101</v>
      </c>
      <c r="T155" s="122"/>
      <c r="U155" s="114">
        <v>2</v>
      </c>
      <c r="V155" s="116">
        <v>0.4</v>
      </c>
      <c r="W155" s="114">
        <v>0.3</v>
      </c>
      <c r="X155" s="116" t="s">
        <v>101</v>
      </c>
      <c r="Y155" s="114">
        <v>4</v>
      </c>
      <c r="Z155" s="114">
        <v>0.9</v>
      </c>
      <c r="AA155" s="116">
        <v>6</v>
      </c>
      <c r="AB155" s="25" t="s">
        <v>101</v>
      </c>
      <c r="AC155" s="25" t="s">
        <v>101</v>
      </c>
      <c r="AD155" s="116" t="s">
        <v>102</v>
      </c>
      <c r="AE155" s="116" t="s">
        <v>103</v>
      </c>
      <c r="AF155" s="22">
        <f t="shared" si="25"/>
        <v>1</v>
      </c>
      <c r="AG155" s="15">
        <f t="shared" si="18"/>
        <v>3</v>
      </c>
      <c r="AH155" s="7">
        <f t="shared" si="19"/>
        <v>10</v>
      </c>
      <c r="AI155" s="7">
        <f t="shared" si="20"/>
        <v>10</v>
      </c>
      <c r="AJ155" s="7">
        <f t="shared" si="21"/>
        <v>10</v>
      </c>
      <c r="AK155" s="12">
        <f t="shared" si="22"/>
        <v>3</v>
      </c>
      <c r="AL155" s="14">
        <f t="shared" si="24"/>
        <v>36</v>
      </c>
      <c r="AM155" s="16" t="str">
        <f t="shared" si="23"/>
        <v>Barrier</v>
      </c>
      <c r="AN155" s="116" t="s">
        <v>398</v>
      </c>
      <c r="AO155" s="114">
        <v>3</v>
      </c>
      <c r="AP155" s="25" t="s">
        <v>331</v>
      </c>
    </row>
    <row r="156" spans="1:42" ht="30" x14ac:dyDescent="0.25">
      <c r="A156" s="82">
        <v>44445</v>
      </c>
      <c r="B156" s="76"/>
      <c r="C156" s="25">
        <v>14001409</v>
      </c>
      <c r="D156" s="25" t="s">
        <v>92</v>
      </c>
      <c r="E156" s="77">
        <v>9</v>
      </c>
      <c r="F156" s="78">
        <v>604621.57444118604</v>
      </c>
      <c r="G156" s="79">
        <v>6012795.8956458904</v>
      </c>
      <c r="H156" s="77" t="s">
        <v>142</v>
      </c>
      <c r="I156" s="77" t="s">
        <v>121</v>
      </c>
      <c r="J156" s="80"/>
      <c r="K156" s="77" t="s">
        <v>367</v>
      </c>
      <c r="L156" s="25" t="s">
        <v>99</v>
      </c>
      <c r="M156" s="25" t="s">
        <v>100</v>
      </c>
      <c r="N156" s="114">
        <v>0.6</v>
      </c>
      <c r="O156" s="114">
        <v>11</v>
      </c>
      <c r="P156" s="116" t="s">
        <v>101</v>
      </c>
      <c r="Q156" s="122"/>
      <c r="R156" s="116"/>
      <c r="S156" s="116" t="s">
        <v>101</v>
      </c>
      <c r="T156" s="122"/>
      <c r="U156" s="114">
        <v>1</v>
      </c>
      <c r="V156" s="116">
        <v>0</v>
      </c>
      <c r="W156" s="114">
        <v>0</v>
      </c>
      <c r="X156" s="116" t="s">
        <v>101</v>
      </c>
      <c r="Y156" s="114">
        <v>4</v>
      </c>
      <c r="Z156" s="114">
        <v>1.3</v>
      </c>
      <c r="AA156" s="116">
        <v>1</v>
      </c>
      <c r="AB156" s="25" t="s">
        <v>101</v>
      </c>
      <c r="AC156" s="25" t="s">
        <v>101</v>
      </c>
      <c r="AD156" s="116" t="s">
        <v>102</v>
      </c>
      <c r="AE156" s="116" t="s">
        <v>103</v>
      </c>
      <c r="AF156" s="22">
        <f t="shared" si="25"/>
        <v>2.166666666666667</v>
      </c>
      <c r="AG156" s="15">
        <f t="shared" si="18"/>
        <v>0</v>
      </c>
      <c r="AH156" s="7">
        <f t="shared" si="19"/>
        <v>10</v>
      </c>
      <c r="AI156" s="7">
        <f t="shared" si="20"/>
        <v>0</v>
      </c>
      <c r="AJ156" s="7">
        <f t="shared" si="21"/>
        <v>10</v>
      </c>
      <c r="AK156" s="12">
        <f t="shared" si="22"/>
        <v>6</v>
      </c>
      <c r="AL156" s="14">
        <f t="shared" si="24"/>
        <v>26</v>
      </c>
      <c r="AM156" s="16" t="str">
        <f t="shared" si="23"/>
        <v>Barrier</v>
      </c>
      <c r="AN156" s="116" t="s">
        <v>398</v>
      </c>
      <c r="AO156" s="114">
        <v>3</v>
      </c>
      <c r="AP156" s="25" t="s">
        <v>332</v>
      </c>
    </row>
    <row r="157" spans="1:42" ht="30" x14ac:dyDescent="0.25">
      <c r="A157" s="82">
        <v>44445</v>
      </c>
      <c r="B157" s="76"/>
      <c r="C157" s="25">
        <v>14001468</v>
      </c>
      <c r="D157" s="25" t="s">
        <v>92</v>
      </c>
      <c r="E157" s="77">
        <v>9</v>
      </c>
      <c r="F157" s="78">
        <v>604616.43508819095</v>
      </c>
      <c r="G157" s="79">
        <v>6010547.3698888402</v>
      </c>
      <c r="H157" s="77" t="s">
        <v>142</v>
      </c>
      <c r="I157" s="77" t="s">
        <v>121</v>
      </c>
      <c r="J157" s="80"/>
      <c r="K157" s="77" t="s">
        <v>362</v>
      </c>
      <c r="L157" s="25" t="s">
        <v>99</v>
      </c>
      <c r="M157" s="25" t="s">
        <v>100</v>
      </c>
      <c r="N157" s="114">
        <v>0.4</v>
      </c>
      <c r="O157" s="114">
        <v>12</v>
      </c>
      <c r="P157" s="116" t="s">
        <v>101</v>
      </c>
      <c r="Q157" s="122"/>
      <c r="R157" s="116" t="s">
        <v>101</v>
      </c>
      <c r="S157" s="116" t="s">
        <v>101</v>
      </c>
      <c r="T157" s="122"/>
      <c r="U157" s="114">
        <v>1</v>
      </c>
      <c r="V157" s="116">
        <v>0</v>
      </c>
      <c r="W157" s="114">
        <v>0</v>
      </c>
      <c r="X157" s="116" t="s">
        <v>101</v>
      </c>
      <c r="Y157" s="114">
        <v>4</v>
      </c>
      <c r="Z157" s="114">
        <v>0.5</v>
      </c>
      <c r="AA157" s="116">
        <v>0</v>
      </c>
      <c r="AB157" s="25" t="s">
        <v>101</v>
      </c>
      <c r="AC157" s="25" t="s">
        <v>101</v>
      </c>
      <c r="AD157" s="116" t="s">
        <v>102</v>
      </c>
      <c r="AE157" s="116" t="s">
        <v>103</v>
      </c>
      <c r="AF157" s="22">
        <f t="shared" si="25"/>
        <v>1.25</v>
      </c>
      <c r="AG157" s="15">
        <f t="shared" si="18"/>
        <v>0</v>
      </c>
      <c r="AH157" s="7">
        <f t="shared" si="19"/>
        <v>10</v>
      </c>
      <c r="AI157" s="7">
        <f t="shared" si="20"/>
        <v>0</v>
      </c>
      <c r="AJ157" s="7">
        <f t="shared" si="21"/>
        <v>10</v>
      </c>
      <c r="AK157" s="12">
        <f t="shared" si="22"/>
        <v>3</v>
      </c>
      <c r="AL157" s="14">
        <f t="shared" si="24"/>
        <v>23</v>
      </c>
      <c r="AM157" s="16" t="str">
        <f t="shared" si="23"/>
        <v>Barrier</v>
      </c>
      <c r="AN157" s="116" t="s">
        <v>398</v>
      </c>
      <c r="AO157" s="114">
        <v>3</v>
      </c>
      <c r="AP157" s="25" t="s">
        <v>333</v>
      </c>
    </row>
    <row r="158" spans="1:42" ht="30" x14ac:dyDescent="0.25">
      <c r="A158" s="82">
        <v>44445</v>
      </c>
      <c r="B158" s="76"/>
      <c r="C158" s="25">
        <v>14000399</v>
      </c>
      <c r="D158" s="25" t="s">
        <v>92</v>
      </c>
      <c r="E158" s="77">
        <v>9</v>
      </c>
      <c r="F158" s="78">
        <v>604825.97556765098</v>
      </c>
      <c r="G158" s="79">
        <v>6022653.0137266098</v>
      </c>
      <c r="H158" s="77" t="s">
        <v>144</v>
      </c>
      <c r="I158" s="77" t="s">
        <v>143</v>
      </c>
      <c r="J158" s="80"/>
      <c r="K158" s="77" t="s">
        <v>383</v>
      </c>
      <c r="L158" s="25" t="s">
        <v>95</v>
      </c>
      <c r="M158" s="25" t="s">
        <v>96</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t="s">
        <v>328</v>
      </c>
    </row>
    <row r="159" spans="1:42" ht="30" x14ac:dyDescent="0.25">
      <c r="A159" s="82">
        <v>44445</v>
      </c>
      <c r="B159" s="76"/>
      <c r="C159" s="25">
        <v>14001432</v>
      </c>
      <c r="D159" s="25" t="s">
        <v>92</v>
      </c>
      <c r="E159" s="77">
        <v>9</v>
      </c>
      <c r="F159" s="78">
        <v>604342.45455377898</v>
      </c>
      <c r="G159" s="79">
        <v>6022071.60402642</v>
      </c>
      <c r="H159" s="77" t="s">
        <v>145</v>
      </c>
      <c r="I159" s="77" t="s">
        <v>143</v>
      </c>
      <c r="J159" s="80"/>
      <c r="K159" s="77" t="s">
        <v>381</v>
      </c>
      <c r="L159" s="25" t="s">
        <v>95</v>
      </c>
      <c r="M159" s="25" t="s">
        <v>96</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6"/>
      <c r="AO159" s="127"/>
      <c r="AP159" s="25" t="s">
        <v>409</v>
      </c>
    </row>
    <row r="160" spans="1:42" ht="30" x14ac:dyDescent="0.25">
      <c r="A160" s="82">
        <v>44445</v>
      </c>
      <c r="B160" s="76"/>
      <c r="C160" s="25">
        <v>14000381</v>
      </c>
      <c r="D160" s="25" t="s">
        <v>146</v>
      </c>
      <c r="E160" s="77">
        <v>9</v>
      </c>
      <c r="F160" s="78">
        <v>606100.21105871699</v>
      </c>
      <c r="G160" s="79">
        <v>6017300.7417684104</v>
      </c>
      <c r="H160" s="77" t="s">
        <v>142</v>
      </c>
      <c r="I160" s="77" t="s">
        <v>143</v>
      </c>
      <c r="J160" s="80"/>
      <c r="K160" s="77" t="s">
        <v>383</v>
      </c>
      <c r="L160" s="25" t="s">
        <v>99</v>
      </c>
      <c r="M160" s="25" t="s">
        <v>120</v>
      </c>
      <c r="N160" s="114">
        <v>0.9</v>
      </c>
      <c r="O160" s="114">
        <v>15</v>
      </c>
      <c r="P160" s="116" t="s">
        <v>101</v>
      </c>
      <c r="Q160" s="122"/>
      <c r="R160" s="116"/>
      <c r="S160" s="116" t="s">
        <v>101</v>
      </c>
      <c r="T160" s="122"/>
      <c r="U160" s="114">
        <v>1.5</v>
      </c>
      <c r="V160" s="116">
        <v>0.25</v>
      </c>
      <c r="W160" s="114">
        <v>0</v>
      </c>
      <c r="X160" s="116" t="s">
        <v>101</v>
      </c>
      <c r="Y160" s="114">
        <v>1</v>
      </c>
      <c r="Z160" s="114">
        <v>1.1000000000000001</v>
      </c>
      <c r="AA160" s="116">
        <v>3</v>
      </c>
      <c r="AB160" s="25" t="s">
        <v>104</v>
      </c>
      <c r="AC160" s="25" t="s">
        <v>101</v>
      </c>
      <c r="AD160" s="116" t="s">
        <v>102</v>
      </c>
      <c r="AE160" s="116" t="s">
        <v>103</v>
      </c>
      <c r="AF160" s="22">
        <f t="shared" si="25"/>
        <v>1.2222222222222223</v>
      </c>
      <c r="AG160" s="15">
        <f t="shared" si="18"/>
        <v>3</v>
      </c>
      <c r="AH160" s="7">
        <f t="shared" si="19"/>
        <v>10</v>
      </c>
      <c r="AI160" s="7">
        <f t="shared" si="20"/>
        <v>5</v>
      </c>
      <c r="AJ160" s="7">
        <f t="shared" si="21"/>
        <v>5</v>
      </c>
      <c r="AK160" s="12">
        <f t="shared" si="22"/>
        <v>3</v>
      </c>
      <c r="AL160" s="14">
        <f t="shared" si="24"/>
        <v>26</v>
      </c>
      <c r="AM160" s="16" t="str">
        <f t="shared" si="23"/>
        <v>Barrier</v>
      </c>
      <c r="AN160" s="116" t="s">
        <v>398</v>
      </c>
      <c r="AO160" s="114">
        <v>3</v>
      </c>
      <c r="AP160" s="25" t="s">
        <v>329</v>
      </c>
    </row>
    <row r="161" spans="1:42" ht="30" x14ac:dyDescent="0.25">
      <c r="A161" s="82">
        <v>44445</v>
      </c>
      <c r="B161" s="76"/>
      <c r="C161" s="25">
        <v>14000389</v>
      </c>
      <c r="D161" s="25" t="s">
        <v>146</v>
      </c>
      <c r="E161" s="77">
        <v>9</v>
      </c>
      <c r="F161" s="78">
        <v>604962.09326983301</v>
      </c>
      <c r="G161" s="79">
        <v>6015050.2430111598</v>
      </c>
      <c r="H161" s="77" t="s">
        <v>142</v>
      </c>
      <c r="I161" s="77" t="s">
        <v>143</v>
      </c>
      <c r="J161" s="80"/>
      <c r="K161" s="77" t="s">
        <v>383</v>
      </c>
      <c r="L161" s="25" t="s">
        <v>99</v>
      </c>
      <c r="M161" s="25" t="s">
        <v>120</v>
      </c>
      <c r="N161" s="114">
        <v>0.6</v>
      </c>
      <c r="O161" s="114">
        <v>25</v>
      </c>
      <c r="P161" s="116" t="s">
        <v>101</v>
      </c>
      <c r="Q161" s="122"/>
      <c r="R161" s="116" t="s">
        <v>101</v>
      </c>
      <c r="S161" s="116" t="s">
        <v>101</v>
      </c>
      <c r="T161" s="122"/>
      <c r="U161" s="114">
        <v>4.5</v>
      </c>
      <c r="V161" s="116">
        <v>1.2</v>
      </c>
      <c r="W161" s="114">
        <v>0.45</v>
      </c>
      <c r="X161" s="116" t="s">
        <v>101</v>
      </c>
      <c r="Y161" s="114">
        <v>4</v>
      </c>
      <c r="Z161" s="114">
        <v>1.8</v>
      </c>
      <c r="AA161" s="116">
        <v>9</v>
      </c>
      <c r="AB161" s="25" t="s">
        <v>101</v>
      </c>
      <c r="AC161" s="25" t="s">
        <v>101</v>
      </c>
      <c r="AD161" s="116" t="s">
        <v>102</v>
      </c>
      <c r="AE161" s="116" t="s">
        <v>103</v>
      </c>
      <c r="AF161" s="22">
        <f t="shared" si="25"/>
        <v>3</v>
      </c>
      <c r="AG161" s="15">
        <f t="shared" si="18"/>
        <v>3</v>
      </c>
      <c r="AH161" s="7">
        <f t="shared" si="19"/>
        <v>10</v>
      </c>
      <c r="AI161" s="7">
        <f t="shared" si="20"/>
        <v>10</v>
      </c>
      <c r="AJ161" s="7">
        <f t="shared" si="21"/>
        <v>10</v>
      </c>
      <c r="AK161" s="12">
        <f t="shared" si="22"/>
        <v>6</v>
      </c>
      <c r="AL161" s="14">
        <f t="shared" si="24"/>
        <v>39</v>
      </c>
      <c r="AM161" s="16" t="str">
        <f t="shared" si="23"/>
        <v>Barrier</v>
      </c>
      <c r="AN161" s="116" t="s">
        <v>398</v>
      </c>
      <c r="AO161" s="114">
        <v>3</v>
      </c>
      <c r="AP161" s="25" t="s">
        <v>330</v>
      </c>
    </row>
    <row r="162" spans="1:42" ht="30" x14ac:dyDescent="0.25">
      <c r="A162" s="82">
        <v>44445</v>
      </c>
      <c r="B162" s="76"/>
      <c r="C162" s="25">
        <v>14000383</v>
      </c>
      <c r="D162" s="25" t="s">
        <v>147</v>
      </c>
      <c r="E162" s="77">
        <v>9</v>
      </c>
      <c r="F162" s="78">
        <v>605307.12482722499</v>
      </c>
      <c r="G162" s="79">
        <v>6023040.3860594099</v>
      </c>
      <c r="H162" s="77" t="s">
        <v>144</v>
      </c>
      <c r="I162" s="77" t="s">
        <v>143</v>
      </c>
      <c r="J162" s="80"/>
      <c r="K162" s="77" t="s">
        <v>383</v>
      </c>
      <c r="L162" s="25" t="s">
        <v>99</v>
      </c>
      <c r="M162" s="25" t="s">
        <v>100</v>
      </c>
      <c r="N162" s="114">
        <v>1.4</v>
      </c>
      <c r="O162" s="114">
        <v>18</v>
      </c>
      <c r="P162" s="116" t="s">
        <v>101</v>
      </c>
      <c r="Q162" s="122"/>
      <c r="R162" s="116" t="s">
        <v>101</v>
      </c>
      <c r="S162" s="116" t="s">
        <v>101</v>
      </c>
      <c r="T162" s="122"/>
      <c r="U162" s="114">
        <v>3</v>
      </c>
      <c r="V162" s="116">
        <v>0</v>
      </c>
      <c r="W162" s="114">
        <v>0.75</v>
      </c>
      <c r="X162" s="116" t="s">
        <v>101</v>
      </c>
      <c r="Y162" s="114">
        <v>3</v>
      </c>
      <c r="Z162" s="114">
        <v>3</v>
      </c>
      <c r="AA162" s="116">
        <v>3.5</v>
      </c>
      <c r="AB162" s="25" t="s">
        <v>101</v>
      </c>
      <c r="AC162" s="25" t="s">
        <v>101</v>
      </c>
      <c r="AD162" s="116" t="s">
        <v>102</v>
      </c>
      <c r="AE162" s="116" t="s">
        <v>110</v>
      </c>
      <c r="AF162" s="22">
        <f t="shared" si="25"/>
        <v>2.1428571428571428</v>
      </c>
      <c r="AG162" s="15">
        <f t="shared" si="18"/>
        <v>3</v>
      </c>
      <c r="AH162" s="7">
        <f t="shared" si="19"/>
        <v>10</v>
      </c>
      <c r="AI162" s="7">
        <f t="shared" si="20"/>
        <v>0</v>
      </c>
      <c r="AJ162" s="7">
        <f t="shared" si="21"/>
        <v>10</v>
      </c>
      <c r="AK162" s="12">
        <f t="shared" si="22"/>
        <v>6</v>
      </c>
      <c r="AL162" s="14">
        <f t="shared" si="24"/>
        <v>29</v>
      </c>
      <c r="AM162" s="16" t="str">
        <f t="shared" si="23"/>
        <v>Barrier</v>
      </c>
      <c r="AN162" s="116" t="s">
        <v>399</v>
      </c>
      <c r="AO162" s="114">
        <v>10</v>
      </c>
      <c r="AP162" s="25" t="s">
        <v>326</v>
      </c>
    </row>
    <row r="163" spans="1:42" ht="30" x14ac:dyDescent="0.25">
      <c r="A163" s="82">
        <v>44445</v>
      </c>
      <c r="B163" s="76"/>
      <c r="C163" s="25">
        <v>14000390</v>
      </c>
      <c r="D163" s="25" t="s">
        <v>146</v>
      </c>
      <c r="E163" s="77">
        <v>9</v>
      </c>
      <c r="F163" s="78">
        <v>605778.637934773</v>
      </c>
      <c r="G163" s="79">
        <v>6021673.3118073996</v>
      </c>
      <c r="H163" s="77" t="s">
        <v>144</v>
      </c>
      <c r="I163" s="77" t="s">
        <v>143</v>
      </c>
      <c r="J163" s="80"/>
      <c r="K163" s="77" t="s">
        <v>383</v>
      </c>
      <c r="L163" s="25" t="s">
        <v>99</v>
      </c>
      <c r="M163" s="25" t="s">
        <v>100</v>
      </c>
      <c r="N163" s="114">
        <v>1</v>
      </c>
      <c r="O163" s="114">
        <v>14</v>
      </c>
      <c r="P163" s="116" t="s">
        <v>101</v>
      </c>
      <c r="Q163" s="122"/>
      <c r="R163" s="116" t="s">
        <v>101</v>
      </c>
      <c r="S163" s="116" t="s">
        <v>101</v>
      </c>
      <c r="T163" s="122"/>
      <c r="U163" s="114">
        <v>1</v>
      </c>
      <c r="V163" s="116">
        <v>0.3</v>
      </c>
      <c r="W163" s="114">
        <v>0.2</v>
      </c>
      <c r="X163" s="116" t="s">
        <v>101</v>
      </c>
      <c r="Y163" s="114">
        <v>5</v>
      </c>
      <c r="Z163" s="114">
        <v>1.5</v>
      </c>
      <c r="AA163" s="116">
        <v>7</v>
      </c>
      <c r="AB163" s="25" t="s">
        <v>101</v>
      </c>
      <c r="AC163" s="25" t="s">
        <v>101</v>
      </c>
      <c r="AD163" s="116" t="s">
        <v>102</v>
      </c>
      <c r="AE163" s="116" t="s">
        <v>103</v>
      </c>
      <c r="AF163" s="22">
        <f t="shared" si="25"/>
        <v>1.5</v>
      </c>
      <c r="AG163" s="15">
        <f t="shared" si="18"/>
        <v>0</v>
      </c>
      <c r="AH163" s="7">
        <f t="shared" si="19"/>
        <v>10</v>
      </c>
      <c r="AI163" s="7">
        <f t="shared" si="20"/>
        <v>10</v>
      </c>
      <c r="AJ163" s="7">
        <f t="shared" si="21"/>
        <v>10</v>
      </c>
      <c r="AK163" s="12">
        <f t="shared" si="22"/>
        <v>6</v>
      </c>
      <c r="AL163" s="14">
        <f t="shared" si="24"/>
        <v>36</v>
      </c>
      <c r="AM163" s="16" t="str">
        <f t="shared" si="23"/>
        <v>Barrier</v>
      </c>
      <c r="AN163" s="116" t="s">
        <v>398</v>
      </c>
      <c r="AO163" s="114">
        <v>3</v>
      </c>
      <c r="AP163" s="25" t="s">
        <v>542</v>
      </c>
    </row>
    <row r="164" spans="1:42" ht="30" x14ac:dyDescent="0.25">
      <c r="A164" s="82">
        <v>44445</v>
      </c>
      <c r="B164" s="76"/>
      <c r="C164" s="25">
        <v>14000392</v>
      </c>
      <c r="D164" s="25" t="s">
        <v>97</v>
      </c>
      <c r="E164" s="77">
        <v>9</v>
      </c>
      <c r="F164" s="78">
        <v>605753.55403273995</v>
      </c>
      <c r="G164" s="79">
        <v>6023617.86515697</v>
      </c>
      <c r="H164" s="77" t="s">
        <v>144</v>
      </c>
      <c r="I164" s="77" t="s">
        <v>143</v>
      </c>
      <c r="J164" s="80"/>
      <c r="K164" s="77" t="s">
        <v>383</v>
      </c>
      <c r="L164" s="25" t="s">
        <v>99</v>
      </c>
      <c r="M164" s="25" t="s">
        <v>100</v>
      </c>
      <c r="N164" s="114">
        <v>0.6</v>
      </c>
      <c r="O164" s="114">
        <v>12</v>
      </c>
      <c r="P164" s="116" t="s">
        <v>101</v>
      </c>
      <c r="Q164" s="122"/>
      <c r="R164" s="116" t="s">
        <v>101</v>
      </c>
      <c r="S164" s="116" t="s">
        <v>101</v>
      </c>
      <c r="T164" s="122"/>
      <c r="U164" s="114">
        <v>1.5</v>
      </c>
      <c r="V164" s="116">
        <v>0.62</v>
      </c>
      <c r="W164" s="114">
        <v>0.82</v>
      </c>
      <c r="X164" s="116" t="s">
        <v>101</v>
      </c>
      <c r="Y164" s="114">
        <v>2</v>
      </c>
      <c r="Z164" s="114">
        <v>1.5</v>
      </c>
      <c r="AA164" s="116">
        <v>4</v>
      </c>
      <c r="AB164" s="25" t="s">
        <v>101</v>
      </c>
      <c r="AC164" s="25" t="s">
        <v>104</v>
      </c>
      <c r="AD164" s="116" t="s">
        <v>102</v>
      </c>
      <c r="AE164" s="116" t="s">
        <v>110</v>
      </c>
      <c r="AF164" s="22">
        <f t="shared" si="25"/>
        <v>2.5</v>
      </c>
      <c r="AG164" s="15">
        <f t="shared" si="18"/>
        <v>0</v>
      </c>
      <c r="AH164" s="7">
        <f t="shared" si="19"/>
        <v>10</v>
      </c>
      <c r="AI164" s="7">
        <f t="shared" si="20"/>
        <v>10</v>
      </c>
      <c r="AJ164" s="7">
        <f t="shared" si="21"/>
        <v>5</v>
      </c>
      <c r="AK164" s="12">
        <f t="shared" si="22"/>
        <v>6</v>
      </c>
      <c r="AL164" s="14">
        <f t="shared" si="24"/>
        <v>31</v>
      </c>
      <c r="AM164" s="16" t="str">
        <f t="shared" si="23"/>
        <v>Barrier</v>
      </c>
      <c r="AN164" s="116" t="s">
        <v>398</v>
      </c>
      <c r="AO164" s="114">
        <v>3</v>
      </c>
      <c r="AP164" s="25" t="s">
        <v>327</v>
      </c>
    </row>
    <row r="165" spans="1:42" ht="30" x14ac:dyDescent="0.25">
      <c r="A165" s="82">
        <v>44446</v>
      </c>
      <c r="B165" s="76"/>
      <c r="C165" s="25">
        <v>14000718</v>
      </c>
      <c r="D165" s="25" t="s">
        <v>92</v>
      </c>
      <c r="E165" s="77">
        <v>9</v>
      </c>
      <c r="F165" s="78">
        <v>643962</v>
      </c>
      <c r="G165" s="79">
        <v>6001978</v>
      </c>
      <c r="H165" s="77" t="s">
        <v>405</v>
      </c>
      <c r="I165" s="77" t="s">
        <v>148</v>
      </c>
      <c r="J165" s="80"/>
      <c r="K165" s="77" t="s">
        <v>366</v>
      </c>
      <c r="L165" s="25" t="s">
        <v>99</v>
      </c>
      <c r="M165" s="25" t="s">
        <v>100</v>
      </c>
      <c r="N165" s="114">
        <v>0.6</v>
      </c>
      <c r="O165" s="114">
        <v>16</v>
      </c>
      <c r="P165" s="116" t="s">
        <v>101</v>
      </c>
      <c r="Q165" s="122"/>
      <c r="R165" s="116" t="s">
        <v>101</v>
      </c>
      <c r="S165" s="116" t="s">
        <v>104</v>
      </c>
      <c r="T165" s="114">
        <v>100</v>
      </c>
      <c r="U165" s="114">
        <v>0.7</v>
      </c>
      <c r="V165" s="116">
        <v>0</v>
      </c>
      <c r="W165" s="114">
        <v>0.36</v>
      </c>
      <c r="X165" s="116" t="s">
        <v>101</v>
      </c>
      <c r="Y165" s="114">
        <v>0.5</v>
      </c>
      <c r="Z165" s="114">
        <v>2</v>
      </c>
      <c r="AA165" s="116">
        <v>3</v>
      </c>
      <c r="AB165" s="25" t="s">
        <v>101</v>
      </c>
      <c r="AC165" s="25" t="s">
        <v>101</v>
      </c>
      <c r="AD165" s="116" t="s">
        <v>102</v>
      </c>
      <c r="AE165" s="116" t="s">
        <v>110</v>
      </c>
      <c r="AF165" s="22">
        <f t="shared" si="25"/>
        <v>3.3333333333333335</v>
      </c>
      <c r="AG165" s="15">
        <f t="shared" si="18"/>
        <v>3</v>
      </c>
      <c r="AH165" s="7">
        <f t="shared" si="19"/>
        <v>10</v>
      </c>
      <c r="AI165" s="7">
        <f t="shared" si="20"/>
        <v>0</v>
      </c>
      <c r="AJ165" s="7">
        <f t="shared" si="21"/>
        <v>0</v>
      </c>
      <c r="AK165" s="12">
        <f t="shared" si="22"/>
        <v>6</v>
      </c>
      <c r="AL165" s="14">
        <f t="shared" si="24"/>
        <v>19</v>
      </c>
      <c r="AM165" s="16" t="str">
        <f t="shared" si="23"/>
        <v>Potential</v>
      </c>
      <c r="AN165" s="125" t="s">
        <v>399</v>
      </c>
      <c r="AO165" s="114">
        <v>10</v>
      </c>
      <c r="AP165" s="25" t="s">
        <v>406</v>
      </c>
    </row>
    <row r="166" spans="1:42" x14ac:dyDescent="0.25">
      <c r="A166" s="82">
        <v>44446</v>
      </c>
      <c r="B166" s="76"/>
      <c r="C166" s="25">
        <v>14000796</v>
      </c>
      <c r="D166" s="25" t="s">
        <v>92</v>
      </c>
      <c r="E166" s="77">
        <v>9</v>
      </c>
      <c r="F166" s="78">
        <v>637564.054668381</v>
      </c>
      <c r="G166" s="79">
        <v>6007909.0462949304</v>
      </c>
      <c r="H166" s="77" t="s">
        <v>149</v>
      </c>
      <c r="I166" s="77" t="s">
        <v>150</v>
      </c>
      <c r="J166" s="80">
        <v>30.2</v>
      </c>
      <c r="K166" s="77" t="s">
        <v>364</v>
      </c>
      <c r="L166" s="25" t="s">
        <v>95</v>
      </c>
      <c r="M166" s="25" t="s">
        <v>153</v>
      </c>
      <c r="N166" s="114">
        <v>50</v>
      </c>
      <c r="O166" s="114">
        <v>4.9000000000000004</v>
      </c>
      <c r="P166" s="121"/>
      <c r="Q166" s="122"/>
      <c r="R166" s="121"/>
      <c r="S166" s="121"/>
      <c r="T166" s="122"/>
      <c r="U166" s="122"/>
      <c r="V166" s="121"/>
      <c r="W166" s="122"/>
      <c r="X166" s="121"/>
      <c r="Y166" s="122"/>
      <c r="Z166" s="122"/>
      <c r="AA166" s="121"/>
      <c r="AB166" s="25"/>
      <c r="AC166" s="25"/>
      <c r="AD166" s="121"/>
      <c r="AE166" s="121"/>
      <c r="AF166" s="22">
        <f t="shared" si="25"/>
        <v>0</v>
      </c>
      <c r="AG166" s="15">
        <f t="shared" si="18"/>
        <v>0</v>
      </c>
      <c r="AH166" s="7">
        <f t="shared" si="19"/>
        <v>0</v>
      </c>
      <c r="AI166" s="7">
        <f t="shared" si="20"/>
        <v>0</v>
      </c>
      <c r="AJ166" s="7">
        <f t="shared" si="21"/>
        <v>0</v>
      </c>
      <c r="AK166" s="12">
        <f t="shared" si="22"/>
        <v>0</v>
      </c>
      <c r="AL166" s="14">
        <f t="shared" si="24"/>
        <v>0</v>
      </c>
      <c r="AM166" s="16" t="str">
        <f t="shared" si="23"/>
        <v>Passable</v>
      </c>
      <c r="AN166" s="126"/>
      <c r="AO166" s="127"/>
      <c r="AP166" s="25" t="s">
        <v>402</v>
      </c>
    </row>
    <row r="167" spans="1:42" ht="30" x14ac:dyDescent="0.25">
      <c r="A167" s="82">
        <v>44447</v>
      </c>
      <c r="B167" s="76"/>
      <c r="C167" s="25">
        <v>14000991</v>
      </c>
      <c r="D167" s="25" t="s">
        <v>92</v>
      </c>
      <c r="E167" s="77">
        <v>9</v>
      </c>
      <c r="F167" s="78">
        <v>623922.99208324496</v>
      </c>
      <c r="G167" s="79">
        <v>6005103.9063589098</v>
      </c>
      <c r="H167" s="77" t="s">
        <v>122</v>
      </c>
      <c r="I167" s="77" t="s">
        <v>150</v>
      </c>
      <c r="J167" s="80">
        <v>45.5</v>
      </c>
      <c r="K167" s="77" t="s">
        <v>368</v>
      </c>
      <c r="L167" s="25" t="s">
        <v>99</v>
      </c>
      <c r="M167" s="25" t="s">
        <v>100</v>
      </c>
      <c r="N167" s="114">
        <v>0.95</v>
      </c>
      <c r="O167" s="114">
        <v>19</v>
      </c>
      <c r="P167" s="116" t="s">
        <v>101</v>
      </c>
      <c r="Q167" s="122"/>
      <c r="R167" s="116" t="s">
        <v>101</v>
      </c>
      <c r="S167" s="116" t="s">
        <v>101</v>
      </c>
      <c r="T167" s="122"/>
      <c r="U167" s="114">
        <v>2.2999999999999998</v>
      </c>
      <c r="V167" s="116">
        <v>0.3</v>
      </c>
      <c r="W167" s="114">
        <v>0.1</v>
      </c>
      <c r="X167" s="116"/>
      <c r="Y167" s="114">
        <v>4</v>
      </c>
      <c r="Z167" s="114">
        <v>10</v>
      </c>
      <c r="AA167" s="116">
        <v>0</v>
      </c>
      <c r="AB167" s="25" t="s">
        <v>104</v>
      </c>
      <c r="AC167" s="25" t="s">
        <v>101</v>
      </c>
      <c r="AD167" s="116" t="s">
        <v>102</v>
      </c>
      <c r="AE167" s="116" t="s">
        <v>110</v>
      </c>
      <c r="AF167" s="22">
        <f t="shared" si="25"/>
        <v>10.526315789473685</v>
      </c>
      <c r="AG167" s="15">
        <f t="shared" si="18"/>
        <v>3</v>
      </c>
      <c r="AH167" s="7">
        <f t="shared" si="19"/>
        <v>10</v>
      </c>
      <c r="AI167" s="7">
        <f t="shared" si="20"/>
        <v>10</v>
      </c>
      <c r="AJ167" s="7">
        <f t="shared" si="21"/>
        <v>10</v>
      </c>
      <c r="AK167" s="12">
        <f t="shared" si="22"/>
        <v>6</v>
      </c>
      <c r="AL167" s="14">
        <f t="shared" si="24"/>
        <v>39</v>
      </c>
      <c r="AM167" s="16" t="str">
        <f t="shared" si="23"/>
        <v>Barrier</v>
      </c>
      <c r="AN167" s="125" t="s">
        <v>399</v>
      </c>
      <c r="AO167" s="114">
        <v>15</v>
      </c>
      <c r="AP167" s="25" t="s">
        <v>334</v>
      </c>
    </row>
    <row r="168" spans="1:42" ht="30" x14ac:dyDescent="0.25">
      <c r="A168" s="82">
        <v>44447</v>
      </c>
      <c r="B168" s="76"/>
      <c r="C168" s="25">
        <v>14000764</v>
      </c>
      <c r="D168" s="25" t="s">
        <v>92</v>
      </c>
      <c r="E168" s="77">
        <v>9</v>
      </c>
      <c r="F168" s="78">
        <v>609752.960001281</v>
      </c>
      <c r="G168" s="79">
        <v>5992972.00627336</v>
      </c>
      <c r="H168" s="77" t="s">
        <v>151</v>
      </c>
      <c r="I168" s="77" t="s">
        <v>152</v>
      </c>
      <c r="J168" s="80"/>
      <c r="K168" s="77" t="s">
        <v>378</v>
      </c>
      <c r="L168" s="25" t="s">
        <v>95</v>
      </c>
      <c r="M168" s="25" t="s">
        <v>153</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t="s">
        <v>335</v>
      </c>
    </row>
    <row r="169" spans="1:42" ht="30" x14ac:dyDescent="0.25">
      <c r="A169" s="82">
        <v>44447</v>
      </c>
      <c r="B169" s="76"/>
      <c r="C169" s="25">
        <v>14001094</v>
      </c>
      <c r="D169" s="25" t="s">
        <v>154</v>
      </c>
      <c r="E169" s="77">
        <v>9</v>
      </c>
      <c r="F169" s="78">
        <v>623368.99372882501</v>
      </c>
      <c r="G169" s="79">
        <v>6000282.9798788195</v>
      </c>
      <c r="H169" s="77" t="s">
        <v>155</v>
      </c>
      <c r="I169" s="77" t="s">
        <v>121</v>
      </c>
      <c r="J169" s="80"/>
      <c r="K169" s="77" t="s">
        <v>386</v>
      </c>
      <c r="L169" s="25" t="s">
        <v>99</v>
      </c>
      <c r="M169" s="25" t="s">
        <v>100</v>
      </c>
      <c r="N169" s="114">
        <v>1.6</v>
      </c>
      <c r="O169" s="114">
        <v>13.5</v>
      </c>
      <c r="P169" s="116" t="s">
        <v>101</v>
      </c>
      <c r="Q169" s="122"/>
      <c r="R169" s="116" t="s">
        <v>101</v>
      </c>
      <c r="S169" s="116" t="s">
        <v>101</v>
      </c>
      <c r="T169" s="122"/>
      <c r="U169" s="114">
        <v>1</v>
      </c>
      <c r="V169" s="116">
        <v>0.54</v>
      </c>
      <c r="W169" s="114">
        <v>0.6</v>
      </c>
      <c r="X169" s="116" t="s">
        <v>101</v>
      </c>
      <c r="Y169" s="114">
        <v>5</v>
      </c>
      <c r="Z169" s="114">
        <v>2.56</v>
      </c>
      <c r="AA169" s="116">
        <v>4.5</v>
      </c>
      <c r="AB169" s="25" t="s">
        <v>101</v>
      </c>
      <c r="AC169" s="25" t="s">
        <v>104</v>
      </c>
      <c r="AD169" s="116" t="s">
        <v>102</v>
      </c>
      <c r="AE169" s="116" t="s">
        <v>110</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25" t="s">
        <v>399</v>
      </c>
      <c r="AO169" s="114">
        <v>10</v>
      </c>
      <c r="AP169" s="25" t="s">
        <v>358</v>
      </c>
    </row>
    <row r="170" spans="1:42" x14ac:dyDescent="0.25">
      <c r="A170" s="82">
        <v>44450</v>
      </c>
      <c r="B170" s="76"/>
      <c r="C170" s="25">
        <v>1800191</v>
      </c>
      <c r="D170" s="25" t="s">
        <v>92</v>
      </c>
      <c r="E170" s="77">
        <v>9</v>
      </c>
      <c r="F170" s="78">
        <v>680196.97860026301</v>
      </c>
      <c r="G170" s="79">
        <v>6041646.8603472197</v>
      </c>
      <c r="H170" s="77" t="s">
        <v>156</v>
      </c>
      <c r="I170" s="77" t="s">
        <v>157</v>
      </c>
      <c r="J170" s="80"/>
      <c r="K170" s="77" t="s">
        <v>363</v>
      </c>
      <c r="L170" s="25" t="s">
        <v>99</v>
      </c>
      <c r="M170" s="25" t="s">
        <v>100</v>
      </c>
      <c r="N170" s="114">
        <v>1.2</v>
      </c>
      <c r="O170" s="114">
        <v>10</v>
      </c>
      <c r="P170" s="116" t="s">
        <v>101</v>
      </c>
      <c r="Q170" s="122"/>
      <c r="R170" s="116" t="s">
        <v>101</v>
      </c>
      <c r="S170" s="116" t="s">
        <v>101</v>
      </c>
      <c r="T170" s="122"/>
      <c r="U170" s="114">
        <v>0.7</v>
      </c>
      <c r="V170" s="116">
        <v>0.13</v>
      </c>
      <c r="W170" s="114">
        <v>0.1</v>
      </c>
      <c r="X170" s="116" t="s">
        <v>101</v>
      </c>
      <c r="Y170" s="114">
        <v>1</v>
      </c>
      <c r="Z170" s="114">
        <v>3</v>
      </c>
      <c r="AA170" s="116">
        <v>1</v>
      </c>
      <c r="AB170" s="25" t="s">
        <v>101</v>
      </c>
      <c r="AC170" s="25" t="s">
        <v>101</v>
      </c>
      <c r="AD170" s="116" t="s">
        <v>102</v>
      </c>
      <c r="AE170" s="116" t="s">
        <v>110</v>
      </c>
      <c r="AF170" s="22">
        <f t="shared" si="25"/>
        <v>2.5</v>
      </c>
      <c r="AG170" s="15">
        <f t="shared" si="18"/>
        <v>0</v>
      </c>
      <c r="AH170" s="7">
        <f t="shared" si="19"/>
        <v>10</v>
      </c>
      <c r="AI170" s="7">
        <f t="shared" si="20"/>
        <v>0</v>
      </c>
      <c r="AJ170" s="7">
        <f t="shared" si="21"/>
        <v>5</v>
      </c>
      <c r="AK170" s="12">
        <f t="shared" si="22"/>
        <v>6</v>
      </c>
      <c r="AL170" s="14">
        <f t="shared" si="24"/>
        <v>21</v>
      </c>
      <c r="AM170" s="16" t="str">
        <f t="shared" si="23"/>
        <v>Barrier</v>
      </c>
      <c r="AN170" s="116" t="s">
        <v>399</v>
      </c>
      <c r="AO170" s="114">
        <v>10</v>
      </c>
      <c r="AP170" s="25" t="s">
        <v>543</v>
      </c>
    </row>
    <row r="171" spans="1:42" x14ac:dyDescent="0.25">
      <c r="A171" s="82">
        <v>44451</v>
      </c>
      <c r="B171" s="76"/>
      <c r="C171" s="25">
        <v>1802488</v>
      </c>
      <c r="D171" s="25" t="s">
        <v>92</v>
      </c>
      <c r="E171" s="77">
        <v>9</v>
      </c>
      <c r="F171" s="78">
        <v>640243.91479294898</v>
      </c>
      <c r="G171" s="79">
        <v>6048061.0041042296</v>
      </c>
      <c r="H171" s="77" t="s">
        <v>158</v>
      </c>
      <c r="I171" s="77" t="s">
        <v>159</v>
      </c>
      <c r="J171" s="80"/>
      <c r="K171" s="77" t="s">
        <v>362</v>
      </c>
      <c r="L171" s="25" t="s">
        <v>99</v>
      </c>
      <c r="M171" s="25" t="s">
        <v>100</v>
      </c>
      <c r="N171" s="114">
        <v>1.3</v>
      </c>
      <c r="O171" s="114">
        <v>5.5</v>
      </c>
      <c r="P171" s="116" t="s">
        <v>101</v>
      </c>
      <c r="Q171" s="122"/>
      <c r="R171" s="116" t="s">
        <v>101</v>
      </c>
      <c r="S171" s="116" t="s">
        <v>104</v>
      </c>
      <c r="T171" s="114">
        <v>95</v>
      </c>
      <c r="U171" s="114">
        <v>0.2</v>
      </c>
      <c r="V171" s="116">
        <v>0</v>
      </c>
      <c r="W171" s="114">
        <v>0.1</v>
      </c>
      <c r="X171" s="116" t="s">
        <v>101</v>
      </c>
      <c r="Y171" s="114">
        <v>0.45</v>
      </c>
      <c r="Z171" s="114">
        <v>2.77</v>
      </c>
      <c r="AA171" s="116">
        <v>0.5</v>
      </c>
      <c r="AB171" s="25" t="s">
        <v>101</v>
      </c>
      <c r="AC171" s="25" t="s">
        <v>104</v>
      </c>
      <c r="AD171" s="116" t="s">
        <v>102</v>
      </c>
      <c r="AE171" s="116" t="s">
        <v>139</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t="s">
        <v>399</v>
      </c>
      <c r="AO171" s="114">
        <v>10</v>
      </c>
      <c r="AP171" s="25" t="s">
        <v>544</v>
      </c>
    </row>
    <row r="172" spans="1:42" ht="30" x14ac:dyDescent="0.25">
      <c r="A172" s="82">
        <v>44417</v>
      </c>
      <c r="B172" s="76"/>
      <c r="C172" s="25">
        <v>14000804</v>
      </c>
      <c r="D172" s="25" t="s">
        <v>160</v>
      </c>
      <c r="E172" s="77">
        <v>9</v>
      </c>
      <c r="F172" s="78">
        <v>620202.02369913901</v>
      </c>
      <c r="G172" s="79">
        <v>5998472.0222686501</v>
      </c>
      <c r="H172" s="77" t="s">
        <v>155</v>
      </c>
      <c r="I172" s="77" t="s">
        <v>161</v>
      </c>
      <c r="J172" s="80">
        <v>55</v>
      </c>
      <c r="K172" s="77" t="s">
        <v>378</v>
      </c>
      <c r="L172" s="25" t="s">
        <v>99</v>
      </c>
      <c r="M172" s="25" t="s">
        <v>100</v>
      </c>
      <c r="N172" s="114">
        <v>0.95</v>
      </c>
      <c r="O172" s="114">
        <v>13</v>
      </c>
      <c r="P172" s="116" t="s">
        <v>101</v>
      </c>
      <c r="Q172" s="122"/>
      <c r="R172" s="116" t="s">
        <v>101</v>
      </c>
      <c r="S172" s="116" t="s">
        <v>101</v>
      </c>
      <c r="T172" s="122"/>
      <c r="U172" s="114">
        <v>0.5</v>
      </c>
      <c r="V172" s="116">
        <v>0.2</v>
      </c>
      <c r="W172" s="114">
        <v>0.25</v>
      </c>
      <c r="X172" s="116" t="s">
        <v>104</v>
      </c>
      <c r="Y172" s="114">
        <v>2</v>
      </c>
      <c r="Z172" s="114">
        <v>2.2000000000000002</v>
      </c>
      <c r="AA172" s="116">
        <v>6</v>
      </c>
      <c r="AB172" s="25" t="s">
        <v>101</v>
      </c>
      <c r="AC172" s="25" t="s">
        <v>101</v>
      </c>
      <c r="AD172" s="116" t="s">
        <v>102</v>
      </c>
      <c r="AE172" s="116" t="s">
        <v>103</v>
      </c>
      <c r="AF172" s="22">
        <f t="shared" si="25"/>
        <v>2.3157894736842106</v>
      </c>
      <c r="AG172" s="15">
        <f t="shared" si="18"/>
        <v>0</v>
      </c>
      <c r="AH172" s="7">
        <f t="shared" si="19"/>
        <v>10</v>
      </c>
      <c r="AI172" s="7">
        <f t="shared" si="20"/>
        <v>5</v>
      </c>
      <c r="AJ172" s="7">
        <f t="shared" si="21"/>
        <v>5</v>
      </c>
      <c r="AK172" s="12">
        <f t="shared" si="22"/>
        <v>6</v>
      </c>
      <c r="AL172" s="14">
        <f t="shared" si="24"/>
        <v>26</v>
      </c>
      <c r="AM172" s="16" t="str">
        <f t="shared" si="23"/>
        <v>Barrier</v>
      </c>
      <c r="AN172" s="116" t="s">
        <v>399</v>
      </c>
      <c r="AO172" s="114">
        <v>10</v>
      </c>
      <c r="AP172" s="25" t="s">
        <v>545</v>
      </c>
    </row>
    <row r="173" spans="1:42" ht="30" x14ac:dyDescent="0.25">
      <c r="A173" s="82">
        <v>44417</v>
      </c>
      <c r="B173" s="76"/>
      <c r="C173" s="25">
        <v>14000815</v>
      </c>
      <c r="D173" s="25" t="s">
        <v>160</v>
      </c>
      <c r="E173" s="77">
        <v>9</v>
      </c>
      <c r="F173" s="78">
        <v>619988.96838617499</v>
      </c>
      <c r="G173" s="79">
        <v>5998258.9612107696</v>
      </c>
      <c r="H173" s="77" t="s">
        <v>155</v>
      </c>
      <c r="I173" s="77" t="s">
        <v>161</v>
      </c>
      <c r="J173" s="80">
        <v>55</v>
      </c>
      <c r="K173" s="77" t="s">
        <v>378</v>
      </c>
      <c r="L173" s="25" t="s">
        <v>99</v>
      </c>
      <c r="M173" s="25" t="s">
        <v>100</v>
      </c>
      <c r="N173" s="114">
        <v>0.5</v>
      </c>
      <c r="O173" s="114">
        <v>13</v>
      </c>
      <c r="P173" s="116" t="s">
        <v>101</v>
      </c>
      <c r="Q173" s="122"/>
      <c r="R173" s="116" t="s">
        <v>101</v>
      </c>
      <c r="S173" s="116" t="s">
        <v>101</v>
      </c>
      <c r="T173" s="122"/>
      <c r="U173" s="114">
        <v>0.3</v>
      </c>
      <c r="V173" s="116">
        <v>0.4</v>
      </c>
      <c r="W173" s="114">
        <v>0.5</v>
      </c>
      <c r="X173" s="116" t="s">
        <v>104</v>
      </c>
      <c r="Y173" s="114">
        <v>2</v>
      </c>
      <c r="Z173" s="114">
        <v>0.8</v>
      </c>
      <c r="AA173" s="116">
        <v>2</v>
      </c>
      <c r="AB173" s="25" t="s">
        <v>101</v>
      </c>
      <c r="AC173" s="25" t="s">
        <v>101</v>
      </c>
      <c r="AD173" s="116" t="s">
        <v>102</v>
      </c>
      <c r="AE173" s="116" t="s">
        <v>103</v>
      </c>
      <c r="AF173" s="22">
        <f t="shared" si="25"/>
        <v>1.6</v>
      </c>
      <c r="AG173" s="15">
        <f t="shared" si="18"/>
        <v>0</v>
      </c>
      <c r="AH173" s="7">
        <f t="shared" si="19"/>
        <v>10</v>
      </c>
      <c r="AI173" s="7">
        <f t="shared" si="20"/>
        <v>10</v>
      </c>
      <c r="AJ173" s="7">
        <f t="shared" si="21"/>
        <v>5</v>
      </c>
      <c r="AK173" s="12">
        <f t="shared" si="22"/>
        <v>6</v>
      </c>
      <c r="AL173" s="14">
        <f t="shared" si="24"/>
        <v>31</v>
      </c>
      <c r="AM173" s="16" t="str">
        <f t="shared" si="23"/>
        <v>Barrier</v>
      </c>
      <c r="AN173" s="116" t="s">
        <v>398</v>
      </c>
      <c r="AO173" s="114">
        <v>3</v>
      </c>
      <c r="AP173" s="11" t="s">
        <v>337</v>
      </c>
    </row>
    <row r="174" spans="1:42" ht="30" x14ac:dyDescent="0.25">
      <c r="A174" s="82">
        <v>44417</v>
      </c>
      <c r="B174" s="76"/>
      <c r="C174" s="25">
        <v>14000820</v>
      </c>
      <c r="D174" s="25" t="s">
        <v>160</v>
      </c>
      <c r="E174" s="77">
        <v>9</v>
      </c>
      <c r="F174" s="78">
        <v>617036.97720232396</v>
      </c>
      <c r="G174" s="79">
        <v>5997094.98725254</v>
      </c>
      <c r="H174" s="77" t="s">
        <v>351</v>
      </c>
      <c r="I174" s="77" t="s">
        <v>161</v>
      </c>
      <c r="J174" s="80">
        <v>59</v>
      </c>
      <c r="K174" s="77" t="s">
        <v>378</v>
      </c>
      <c r="L174" s="25" t="s">
        <v>99</v>
      </c>
      <c r="M174" s="25" t="s">
        <v>100</v>
      </c>
      <c r="N174" s="75">
        <v>0.95</v>
      </c>
      <c r="O174" s="75">
        <v>10</v>
      </c>
      <c r="P174" s="25" t="s">
        <v>101</v>
      </c>
      <c r="Q174" s="75"/>
      <c r="R174" s="25" t="s">
        <v>101</v>
      </c>
      <c r="S174" s="25" t="s">
        <v>101</v>
      </c>
      <c r="T174" s="75"/>
      <c r="U174" s="75">
        <v>1.3</v>
      </c>
      <c r="V174" s="25">
        <v>0.4</v>
      </c>
      <c r="W174" s="75">
        <v>0.9</v>
      </c>
      <c r="X174" s="25" t="s">
        <v>101</v>
      </c>
      <c r="Y174" s="75">
        <v>2</v>
      </c>
      <c r="Z174" s="75">
        <v>0.35</v>
      </c>
      <c r="AA174" s="25">
        <v>3</v>
      </c>
      <c r="AB174" s="25" t="s">
        <v>101</v>
      </c>
      <c r="AC174" s="25" t="s">
        <v>101</v>
      </c>
      <c r="AD174" s="25" t="s">
        <v>102</v>
      </c>
      <c r="AE174" s="25" t="s">
        <v>110</v>
      </c>
      <c r="AF174" s="22">
        <f t="shared" si="25"/>
        <v>0.36842105263157893</v>
      </c>
      <c r="AG174" s="15">
        <f t="shared" si="18"/>
        <v>0</v>
      </c>
      <c r="AH174" s="7">
        <f t="shared" si="19"/>
        <v>10</v>
      </c>
      <c r="AI174" s="7">
        <f t="shared" si="20"/>
        <v>10</v>
      </c>
      <c r="AJ174" s="7">
        <f t="shared" si="21"/>
        <v>5</v>
      </c>
      <c r="AK174" s="12">
        <f t="shared" si="22"/>
        <v>0</v>
      </c>
      <c r="AL174" s="14">
        <f t="shared" si="24"/>
        <v>25</v>
      </c>
      <c r="AM174" s="16" t="str">
        <f t="shared" si="23"/>
        <v>Barrier</v>
      </c>
      <c r="AN174" s="25" t="s">
        <v>398</v>
      </c>
      <c r="AO174" s="75">
        <v>3</v>
      </c>
      <c r="AP174" s="25" t="s">
        <v>338</v>
      </c>
    </row>
    <row r="175" spans="1:42" ht="30" x14ac:dyDescent="0.25">
      <c r="A175" s="117">
        <v>44419</v>
      </c>
      <c r="B175" s="112"/>
      <c r="C175" s="116">
        <v>14001029</v>
      </c>
      <c r="D175" s="116" t="s">
        <v>160</v>
      </c>
      <c r="E175" s="77">
        <v>9</v>
      </c>
      <c r="F175" s="78">
        <v>626238.56096679799</v>
      </c>
      <c r="G175" s="79">
        <v>6005131.1607868997</v>
      </c>
      <c r="H175" s="77" t="s">
        <v>155</v>
      </c>
      <c r="I175" s="77" t="s">
        <v>355</v>
      </c>
      <c r="J175" s="80"/>
      <c r="K175" s="77" t="s">
        <v>387</v>
      </c>
      <c r="L175" s="116" t="s">
        <v>95</v>
      </c>
      <c r="M175" s="116" t="s">
        <v>96</v>
      </c>
      <c r="N175" s="114">
        <v>13</v>
      </c>
      <c r="O175" s="114">
        <v>6</v>
      </c>
      <c r="P175" s="121"/>
      <c r="Q175" s="122"/>
      <c r="R175" s="121"/>
      <c r="S175" s="121"/>
      <c r="T175" s="122"/>
      <c r="U175" s="122"/>
      <c r="V175" s="121"/>
      <c r="W175" s="122"/>
      <c r="X175" s="121"/>
      <c r="Y175" s="122"/>
      <c r="Z175" s="122"/>
      <c r="AA175" s="121"/>
      <c r="AB175" s="116"/>
      <c r="AC175" s="116"/>
      <c r="AD175" s="121"/>
      <c r="AE175" s="121"/>
      <c r="AF175" s="22">
        <f t="shared" si="25"/>
        <v>0</v>
      </c>
      <c r="AG175" s="15">
        <f t="shared" si="18"/>
        <v>0</v>
      </c>
      <c r="AH175" s="7">
        <f t="shared" si="19"/>
        <v>0</v>
      </c>
      <c r="AI175" s="7">
        <f t="shared" si="20"/>
        <v>0</v>
      </c>
      <c r="AJ175" s="7">
        <f t="shared" si="21"/>
        <v>0</v>
      </c>
      <c r="AK175" s="12">
        <f t="shared" si="22"/>
        <v>0</v>
      </c>
      <c r="AL175" s="14">
        <f t="shared" si="24"/>
        <v>0</v>
      </c>
      <c r="AM175" s="16" t="str">
        <f t="shared" si="23"/>
        <v>Passable</v>
      </c>
      <c r="AN175" s="121"/>
      <c r="AO175" s="122"/>
      <c r="AP175" s="116" t="s">
        <v>347</v>
      </c>
    </row>
    <row r="176" spans="1:42" ht="30" x14ac:dyDescent="0.25">
      <c r="A176" s="82">
        <v>44417</v>
      </c>
      <c r="B176" s="76"/>
      <c r="C176" s="25">
        <v>14000256</v>
      </c>
      <c r="D176" s="25" t="s">
        <v>160</v>
      </c>
      <c r="E176" s="77">
        <v>9</v>
      </c>
      <c r="F176" s="78">
        <v>616234.07628573605</v>
      </c>
      <c r="G176" s="79">
        <v>5998375.9995145397</v>
      </c>
      <c r="H176" s="77" t="s">
        <v>351</v>
      </c>
      <c r="I176" s="77" t="s">
        <v>162</v>
      </c>
      <c r="J176" s="80"/>
      <c r="K176" s="77" t="s">
        <v>362</v>
      </c>
      <c r="L176" s="25" t="s">
        <v>99</v>
      </c>
      <c r="M176" s="25" t="s">
        <v>100</v>
      </c>
      <c r="N176" s="75">
        <v>0.8</v>
      </c>
      <c r="O176" s="75">
        <v>9</v>
      </c>
      <c r="P176" s="25" t="s">
        <v>101</v>
      </c>
      <c r="Q176" s="75"/>
      <c r="R176" s="25" t="s">
        <v>101</v>
      </c>
      <c r="S176" s="25" t="s">
        <v>101</v>
      </c>
      <c r="T176" s="75"/>
      <c r="U176" s="75">
        <v>0.3</v>
      </c>
      <c r="V176" s="25">
        <v>0.05</v>
      </c>
      <c r="W176" s="75">
        <v>0.5</v>
      </c>
      <c r="X176" s="25"/>
      <c r="Y176" s="75">
        <v>1</v>
      </c>
      <c r="Z176" s="75">
        <v>2.5</v>
      </c>
      <c r="AA176" s="25">
        <v>2</v>
      </c>
      <c r="AB176" s="25" t="s">
        <v>101</v>
      </c>
      <c r="AC176" s="25" t="s">
        <v>101</v>
      </c>
      <c r="AD176" s="25" t="s">
        <v>102</v>
      </c>
      <c r="AE176" s="25" t="s">
        <v>110</v>
      </c>
      <c r="AF176" s="22">
        <f t="shared" si="25"/>
        <v>3.125</v>
      </c>
      <c r="AG176" s="15">
        <f t="shared" si="18"/>
        <v>0</v>
      </c>
      <c r="AH176" s="7">
        <f t="shared" si="19"/>
        <v>10</v>
      </c>
      <c r="AI176" s="7">
        <f t="shared" si="20"/>
        <v>0</v>
      </c>
      <c r="AJ176" s="7">
        <f t="shared" si="21"/>
        <v>5</v>
      </c>
      <c r="AK176" s="12">
        <f t="shared" si="22"/>
        <v>6</v>
      </c>
      <c r="AL176" s="14">
        <f t="shared" si="24"/>
        <v>21</v>
      </c>
      <c r="AM176" s="16" t="str">
        <f t="shared" si="23"/>
        <v>Barrier</v>
      </c>
      <c r="AN176" s="25" t="s">
        <v>399</v>
      </c>
      <c r="AO176" s="75">
        <v>10</v>
      </c>
      <c r="AP176" s="25" t="s">
        <v>546</v>
      </c>
    </row>
    <row r="177" spans="1:42" ht="30" x14ac:dyDescent="0.25">
      <c r="A177" s="82">
        <v>44417</v>
      </c>
      <c r="B177" s="76"/>
      <c r="C177" s="25">
        <v>14000022</v>
      </c>
      <c r="D177" s="25" t="s">
        <v>160</v>
      </c>
      <c r="E177" s="77">
        <v>9</v>
      </c>
      <c r="F177" s="78">
        <v>616801.01402730704</v>
      </c>
      <c r="G177" s="79">
        <v>5998662.0203029504</v>
      </c>
      <c r="H177" s="77" t="s">
        <v>351</v>
      </c>
      <c r="I177" s="77" t="s">
        <v>163</v>
      </c>
      <c r="J177" s="80"/>
      <c r="K177" s="77" t="s">
        <v>362</v>
      </c>
      <c r="L177" s="25" t="s">
        <v>99</v>
      </c>
      <c r="M177" s="25" t="s">
        <v>100</v>
      </c>
      <c r="N177" s="75">
        <v>0.8</v>
      </c>
      <c r="O177" s="75">
        <v>6</v>
      </c>
      <c r="P177" s="25" t="s">
        <v>101</v>
      </c>
      <c r="Q177" s="75"/>
      <c r="R177" s="25" t="s">
        <v>101</v>
      </c>
      <c r="S177" s="25" t="s">
        <v>101</v>
      </c>
      <c r="T177" s="75"/>
      <c r="U177" s="75">
        <v>1</v>
      </c>
      <c r="V177" s="25">
        <v>0</v>
      </c>
      <c r="W177" s="75">
        <v>0</v>
      </c>
      <c r="X177" s="25" t="s">
        <v>101</v>
      </c>
      <c r="Y177" s="75">
        <v>1</v>
      </c>
      <c r="Z177" s="75">
        <v>2</v>
      </c>
      <c r="AA177" s="25">
        <v>1</v>
      </c>
      <c r="AB177" s="25" t="s">
        <v>101</v>
      </c>
      <c r="AC177" s="25" t="s">
        <v>101</v>
      </c>
      <c r="AD177" s="25" t="s">
        <v>102</v>
      </c>
      <c r="AE177" s="25" t="s">
        <v>110</v>
      </c>
      <c r="AF177" s="22">
        <f t="shared" si="25"/>
        <v>2.5</v>
      </c>
      <c r="AG177" s="15">
        <f t="shared" si="18"/>
        <v>0</v>
      </c>
      <c r="AH177" s="7">
        <f t="shared" si="19"/>
        <v>10</v>
      </c>
      <c r="AI177" s="7">
        <f t="shared" si="20"/>
        <v>0</v>
      </c>
      <c r="AJ177" s="7">
        <f t="shared" si="21"/>
        <v>5</v>
      </c>
      <c r="AK177" s="12">
        <f t="shared" si="22"/>
        <v>6</v>
      </c>
      <c r="AL177" s="14">
        <f t="shared" si="24"/>
        <v>21</v>
      </c>
      <c r="AM177" s="16" t="str">
        <f t="shared" si="23"/>
        <v>Barrier</v>
      </c>
      <c r="AN177" s="116" t="s">
        <v>398</v>
      </c>
      <c r="AO177" s="114">
        <v>3</v>
      </c>
      <c r="AP177" s="25" t="s">
        <v>396</v>
      </c>
    </row>
    <row r="178" spans="1:42" ht="30" x14ac:dyDescent="0.25">
      <c r="A178" s="82">
        <v>44417</v>
      </c>
      <c r="B178" s="76"/>
      <c r="C178" s="25">
        <v>14000322</v>
      </c>
      <c r="D178" s="25" t="s">
        <v>160</v>
      </c>
      <c r="E178" s="77">
        <v>9</v>
      </c>
      <c r="F178" s="78">
        <v>616899.20040785905</v>
      </c>
      <c r="G178" s="79">
        <v>5998674.3915511603</v>
      </c>
      <c r="H178" s="77" t="s">
        <v>351</v>
      </c>
      <c r="I178" s="77" t="s">
        <v>163</v>
      </c>
      <c r="J178" s="80"/>
      <c r="K178" s="77" t="s">
        <v>364</v>
      </c>
      <c r="L178" s="25" t="s">
        <v>112</v>
      </c>
      <c r="M178" s="25" t="s">
        <v>113</v>
      </c>
      <c r="N178" s="122"/>
      <c r="O178" s="122"/>
      <c r="P178" s="121"/>
      <c r="Q178" s="122"/>
      <c r="R178" s="121"/>
      <c r="S178" s="121"/>
      <c r="T178" s="122"/>
      <c r="U178" s="122"/>
      <c r="V178" s="121"/>
      <c r="W178" s="122"/>
      <c r="X178" s="121"/>
      <c r="Y178" s="122"/>
      <c r="Z178" s="122"/>
      <c r="AA178" s="121"/>
      <c r="AB178" s="25"/>
      <c r="AC178" s="25"/>
      <c r="AD178" s="121"/>
      <c r="AE178" s="121"/>
      <c r="AF178" s="22">
        <f t="shared" si="25"/>
        <v>0</v>
      </c>
      <c r="AG178" s="15">
        <f t="shared" si="18"/>
        <v>0</v>
      </c>
      <c r="AH178" s="7">
        <f t="shared" si="19"/>
        <v>0</v>
      </c>
      <c r="AI178" s="7">
        <f t="shared" si="20"/>
        <v>0</v>
      </c>
      <c r="AJ178" s="7">
        <f t="shared" si="21"/>
        <v>0</v>
      </c>
      <c r="AK178" s="12">
        <f t="shared" si="22"/>
        <v>0</v>
      </c>
      <c r="AL178" s="14">
        <f t="shared" si="24"/>
        <v>0</v>
      </c>
      <c r="AM178" s="16" t="str">
        <f t="shared" si="23"/>
        <v>Unknown</v>
      </c>
      <c r="AN178" s="116"/>
      <c r="AO178" s="114"/>
      <c r="AP178" s="25" t="s">
        <v>389</v>
      </c>
    </row>
    <row r="179" spans="1:42" ht="30" x14ac:dyDescent="0.25">
      <c r="A179" s="117">
        <v>44418</v>
      </c>
      <c r="B179" s="76"/>
      <c r="C179" s="116">
        <v>14000967</v>
      </c>
      <c r="D179" s="116" t="s">
        <v>160</v>
      </c>
      <c r="E179" s="77">
        <v>9</v>
      </c>
      <c r="F179" s="78">
        <v>624444.27521961997</v>
      </c>
      <c r="G179" s="79">
        <v>6002415.5259661097</v>
      </c>
      <c r="H179" s="77" t="s">
        <v>155</v>
      </c>
      <c r="I179" s="77" t="s">
        <v>354</v>
      </c>
      <c r="J179" s="80"/>
      <c r="K179" s="77" t="s">
        <v>362</v>
      </c>
      <c r="L179" s="116" t="s">
        <v>95</v>
      </c>
      <c r="M179" s="116" t="s">
        <v>96</v>
      </c>
      <c r="N179" s="114">
        <v>9</v>
      </c>
      <c r="O179" s="114">
        <v>5</v>
      </c>
      <c r="P179" s="121"/>
      <c r="Q179" s="122"/>
      <c r="R179" s="121"/>
      <c r="S179" s="121"/>
      <c r="T179" s="122"/>
      <c r="U179" s="122"/>
      <c r="V179" s="121"/>
      <c r="W179" s="122"/>
      <c r="X179" s="121"/>
      <c r="Y179" s="122"/>
      <c r="Z179" s="122"/>
      <c r="AA179" s="121"/>
      <c r="AB179" s="116"/>
      <c r="AC179" s="116"/>
      <c r="AD179" s="121"/>
      <c r="AE179" s="121"/>
      <c r="AF179" s="22">
        <f t="shared" si="25"/>
        <v>0</v>
      </c>
      <c r="AG179" s="15">
        <f t="shared" si="18"/>
        <v>0</v>
      </c>
      <c r="AH179" s="7">
        <f t="shared" si="19"/>
        <v>0</v>
      </c>
      <c r="AI179" s="7">
        <f t="shared" si="20"/>
        <v>0</v>
      </c>
      <c r="AJ179" s="7">
        <f t="shared" si="21"/>
        <v>0</v>
      </c>
      <c r="AK179" s="12">
        <f t="shared" si="22"/>
        <v>0</v>
      </c>
      <c r="AL179" s="14">
        <f t="shared" si="24"/>
        <v>0</v>
      </c>
      <c r="AM179" s="16" t="str">
        <f t="shared" si="23"/>
        <v>Passable</v>
      </c>
      <c r="AN179" s="121"/>
      <c r="AO179" s="122"/>
      <c r="AP179" s="116" t="s">
        <v>360</v>
      </c>
    </row>
    <row r="180" spans="1:42" ht="30" x14ac:dyDescent="0.25">
      <c r="A180" s="82">
        <v>44417</v>
      </c>
      <c r="B180" s="76"/>
      <c r="C180" s="25">
        <v>14001624</v>
      </c>
      <c r="D180" s="25" t="s">
        <v>160</v>
      </c>
      <c r="E180" s="77">
        <v>9</v>
      </c>
      <c r="F180" s="78">
        <v>618396.19425730896</v>
      </c>
      <c r="G180" s="79">
        <v>5996675.3007105002</v>
      </c>
      <c r="H180" s="77" t="s">
        <v>351</v>
      </c>
      <c r="I180" s="77" t="s">
        <v>121</v>
      </c>
      <c r="J180" s="80"/>
      <c r="K180" s="77" t="s">
        <v>364</v>
      </c>
      <c r="L180" s="25" t="s">
        <v>99</v>
      </c>
      <c r="M180" s="25" t="s">
        <v>100</v>
      </c>
      <c r="N180" s="75">
        <v>0.6</v>
      </c>
      <c r="O180" s="75">
        <v>9</v>
      </c>
      <c r="P180" s="25" t="s">
        <v>101</v>
      </c>
      <c r="Q180" s="75">
        <v>0.05</v>
      </c>
      <c r="R180" s="25" t="s">
        <v>104</v>
      </c>
      <c r="S180" s="25" t="s">
        <v>104</v>
      </c>
      <c r="T180" s="75">
        <v>50</v>
      </c>
      <c r="U180" s="75">
        <v>1</v>
      </c>
      <c r="V180" s="25">
        <v>0</v>
      </c>
      <c r="W180" s="75">
        <v>0</v>
      </c>
      <c r="X180" s="25" t="s">
        <v>104</v>
      </c>
      <c r="Y180" s="75">
        <v>2</v>
      </c>
      <c r="Z180" s="75">
        <v>0.65</v>
      </c>
      <c r="AA180" s="25">
        <v>10</v>
      </c>
      <c r="AB180" s="25" t="s">
        <v>101</v>
      </c>
      <c r="AC180" s="25" t="s">
        <v>101</v>
      </c>
      <c r="AD180" s="25" t="s">
        <v>102</v>
      </c>
      <c r="AE180" s="25" t="s">
        <v>103</v>
      </c>
      <c r="AF180" s="22">
        <f t="shared" si="25"/>
        <v>1.0833333333333335</v>
      </c>
      <c r="AG180" s="15">
        <f t="shared" si="18"/>
        <v>0</v>
      </c>
      <c r="AH180" s="7">
        <f t="shared" si="19"/>
        <v>10</v>
      </c>
      <c r="AI180" s="7">
        <f t="shared" si="20"/>
        <v>0</v>
      </c>
      <c r="AJ180" s="7">
        <f t="shared" si="21"/>
        <v>5</v>
      </c>
      <c r="AK180" s="12">
        <f t="shared" si="22"/>
        <v>3</v>
      </c>
      <c r="AL180" s="14">
        <f t="shared" si="24"/>
        <v>18</v>
      </c>
      <c r="AM180" s="16" t="str">
        <f t="shared" si="23"/>
        <v>Potential</v>
      </c>
      <c r="AN180" s="25" t="s">
        <v>398</v>
      </c>
      <c r="AO180" s="75">
        <v>3</v>
      </c>
      <c r="AP180" s="25" t="s">
        <v>547</v>
      </c>
    </row>
    <row r="181" spans="1:42" ht="30" x14ac:dyDescent="0.25">
      <c r="A181" s="117">
        <v>44418</v>
      </c>
      <c r="B181" s="76"/>
      <c r="C181" s="116">
        <v>14000593</v>
      </c>
      <c r="D181" s="116" t="s">
        <v>160</v>
      </c>
      <c r="E181" s="77">
        <v>9</v>
      </c>
      <c r="F181" s="78">
        <v>621806.97357183497</v>
      </c>
      <c r="G181" s="79">
        <v>5996214.9517926704</v>
      </c>
      <c r="H181" s="77" t="s">
        <v>155</v>
      </c>
      <c r="I181" s="77" t="s">
        <v>121</v>
      </c>
      <c r="J181" s="80"/>
      <c r="K181" s="77" t="s">
        <v>386</v>
      </c>
      <c r="L181" s="116" t="s">
        <v>95</v>
      </c>
      <c r="M181" s="25" t="s">
        <v>352</v>
      </c>
      <c r="N181" s="114">
        <v>3</v>
      </c>
      <c r="O181" s="114">
        <v>6</v>
      </c>
      <c r="P181" s="121"/>
      <c r="Q181" s="122"/>
      <c r="R181" s="121"/>
      <c r="S181" s="121"/>
      <c r="T181" s="122"/>
      <c r="U181" s="122"/>
      <c r="V181" s="121"/>
      <c r="W181" s="122"/>
      <c r="X181" s="121"/>
      <c r="Y181" s="122"/>
      <c r="Z181" s="122"/>
      <c r="AA181" s="121"/>
      <c r="AB181" s="116"/>
      <c r="AC181" s="116"/>
      <c r="AD181" s="121"/>
      <c r="AE181" s="121"/>
      <c r="AF181" s="22">
        <f t="shared" si="25"/>
        <v>0</v>
      </c>
      <c r="AG181" s="15">
        <f t="shared" si="18"/>
        <v>0</v>
      </c>
      <c r="AH181" s="7">
        <f t="shared" si="19"/>
        <v>0</v>
      </c>
      <c r="AI181" s="7">
        <f t="shared" si="20"/>
        <v>0</v>
      </c>
      <c r="AJ181" s="7">
        <f t="shared" si="21"/>
        <v>0</v>
      </c>
      <c r="AK181" s="12">
        <f t="shared" si="22"/>
        <v>0</v>
      </c>
      <c r="AL181" s="14">
        <f t="shared" si="24"/>
        <v>0</v>
      </c>
      <c r="AM181" s="16" t="str">
        <f t="shared" si="23"/>
        <v>Passable</v>
      </c>
      <c r="AN181" s="121"/>
      <c r="AO181" s="122"/>
      <c r="AP181" s="116" t="s">
        <v>548</v>
      </c>
    </row>
    <row r="182" spans="1:42" ht="30" x14ac:dyDescent="0.25">
      <c r="A182" s="117">
        <v>44418</v>
      </c>
      <c r="B182" s="76"/>
      <c r="C182" s="116">
        <v>24740003</v>
      </c>
      <c r="D182" s="116" t="s">
        <v>160</v>
      </c>
      <c r="E182" s="77">
        <v>9</v>
      </c>
      <c r="F182" s="78">
        <v>622870.18589848303</v>
      </c>
      <c r="G182" s="79">
        <v>5988875.3527875002</v>
      </c>
      <c r="H182" s="77" t="s">
        <v>155</v>
      </c>
      <c r="I182" s="77" t="s">
        <v>164</v>
      </c>
      <c r="J182" s="80">
        <v>15</v>
      </c>
      <c r="K182" s="77" t="s">
        <v>362</v>
      </c>
      <c r="L182" s="116" t="s">
        <v>95</v>
      </c>
      <c r="M182" s="116" t="s">
        <v>96</v>
      </c>
      <c r="N182" s="114">
        <v>13</v>
      </c>
      <c r="O182" s="114">
        <v>5</v>
      </c>
      <c r="P182" s="25"/>
      <c r="Q182" s="75"/>
      <c r="R182" s="25"/>
      <c r="S182" s="25"/>
      <c r="T182" s="75"/>
      <c r="U182" s="75"/>
      <c r="V182" s="25"/>
      <c r="W182" s="75"/>
      <c r="X182" s="25"/>
      <c r="Y182" s="75"/>
      <c r="Z182" s="114"/>
      <c r="AA182" s="116"/>
      <c r="AB182" s="116"/>
      <c r="AC182" s="116"/>
      <c r="AD182" s="116"/>
      <c r="AE182" s="116"/>
      <c r="AF182" s="22">
        <f t="shared" si="25"/>
        <v>0</v>
      </c>
      <c r="AG182" s="15">
        <f t="shared" si="18"/>
        <v>0</v>
      </c>
      <c r="AH182" s="7">
        <f t="shared" si="19"/>
        <v>0</v>
      </c>
      <c r="AI182" s="7">
        <f t="shared" si="20"/>
        <v>0</v>
      </c>
      <c r="AJ182" s="7">
        <f t="shared" si="21"/>
        <v>0</v>
      </c>
      <c r="AK182" s="12">
        <f t="shared" si="22"/>
        <v>0</v>
      </c>
      <c r="AL182" s="14">
        <f t="shared" si="24"/>
        <v>0</v>
      </c>
      <c r="AM182" s="16" t="str">
        <f t="shared" si="23"/>
        <v>Passable</v>
      </c>
      <c r="AN182" s="25"/>
      <c r="AO182" s="75"/>
      <c r="AP182" s="116" t="s">
        <v>341</v>
      </c>
    </row>
    <row r="183" spans="1:42" ht="30" x14ac:dyDescent="0.25">
      <c r="A183" s="117">
        <v>44418</v>
      </c>
      <c r="B183" s="76"/>
      <c r="C183" s="116">
        <v>14000897</v>
      </c>
      <c r="D183" s="116" t="s">
        <v>160</v>
      </c>
      <c r="E183" s="77">
        <v>9</v>
      </c>
      <c r="F183" s="78">
        <v>622107.96316453198</v>
      </c>
      <c r="G183" s="79">
        <v>5990679.8477611598</v>
      </c>
      <c r="H183" s="77" t="s">
        <v>155</v>
      </c>
      <c r="I183" s="77" t="s">
        <v>164</v>
      </c>
      <c r="J183" s="80"/>
      <c r="K183" s="77" t="s">
        <v>388</v>
      </c>
      <c r="L183" s="116" t="s">
        <v>95</v>
      </c>
      <c r="M183" s="116" t="s">
        <v>96</v>
      </c>
      <c r="N183" s="114">
        <v>12</v>
      </c>
      <c r="O183" s="114">
        <v>5</v>
      </c>
      <c r="P183" s="121"/>
      <c r="Q183" s="122"/>
      <c r="R183" s="121"/>
      <c r="S183" s="121"/>
      <c r="T183" s="122"/>
      <c r="U183" s="122"/>
      <c r="V183" s="121"/>
      <c r="W183" s="122"/>
      <c r="X183" s="121"/>
      <c r="Y183" s="122"/>
      <c r="Z183" s="122"/>
      <c r="AA183" s="121"/>
      <c r="AB183" s="116"/>
      <c r="AC183" s="116"/>
      <c r="AD183" s="121"/>
      <c r="AE183" s="121"/>
      <c r="AF183" s="22">
        <f t="shared" si="25"/>
        <v>0</v>
      </c>
      <c r="AG183" s="15">
        <f t="shared" si="18"/>
        <v>0</v>
      </c>
      <c r="AH183" s="7">
        <f t="shared" si="19"/>
        <v>0</v>
      </c>
      <c r="AI183" s="7">
        <f t="shared" si="20"/>
        <v>0</v>
      </c>
      <c r="AJ183" s="7">
        <f t="shared" si="21"/>
        <v>0</v>
      </c>
      <c r="AK183" s="12">
        <f t="shared" si="22"/>
        <v>0</v>
      </c>
      <c r="AL183" s="14">
        <f t="shared" si="24"/>
        <v>0</v>
      </c>
      <c r="AM183" s="16" t="str">
        <f t="shared" si="23"/>
        <v>Passable</v>
      </c>
      <c r="AN183" s="121"/>
      <c r="AO183" s="122"/>
      <c r="AP183" s="116" t="s">
        <v>342</v>
      </c>
    </row>
    <row r="184" spans="1:42" ht="30" x14ac:dyDescent="0.25">
      <c r="A184" s="82">
        <v>44418</v>
      </c>
      <c r="B184" s="76"/>
      <c r="C184" s="25">
        <v>14000892</v>
      </c>
      <c r="D184" s="25" t="s">
        <v>160</v>
      </c>
      <c r="E184" s="77">
        <v>9</v>
      </c>
      <c r="F184" s="78">
        <v>620392.06518316898</v>
      </c>
      <c r="G184" s="79">
        <v>5991272.9914908102</v>
      </c>
      <c r="H184" s="77" t="s">
        <v>155</v>
      </c>
      <c r="I184" s="77" t="s">
        <v>121</v>
      </c>
      <c r="J184" s="80"/>
      <c r="K184" s="77" t="s">
        <v>388</v>
      </c>
      <c r="L184" s="25" t="s">
        <v>99</v>
      </c>
      <c r="M184" s="25" t="s">
        <v>100</v>
      </c>
      <c r="N184" s="75">
        <v>0.9</v>
      </c>
      <c r="O184" s="75">
        <v>16</v>
      </c>
      <c r="P184" s="25" t="s">
        <v>101</v>
      </c>
      <c r="Q184" s="75"/>
      <c r="R184" s="25" t="s">
        <v>101</v>
      </c>
      <c r="S184" s="25" t="s">
        <v>101</v>
      </c>
      <c r="T184" s="75"/>
      <c r="U184" s="75">
        <v>2</v>
      </c>
      <c r="V184" s="25">
        <v>0</v>
      </c>
      <c r="W184" s="75">
        <v>0</v>
      </c>
      <c r="X184" s="25" t="s">
        <v>101</v>
      </c>
      <c r="Y184" s="75">
        <v>0</v>
      </c>
      <c r="Z184" s="75">
        <v>1</v>
      </c>
      <c r="AA184" s="25">
        <v>4</v>
      </c>
      <c r="AB184" s="25" t="s">
        <v>101</v>
      </c>
      <c r="AC184" s="25" t="s">
        <v>101</v>
      </c>
      <c r="AD184" s="25" t="s">
        <v>102</v>
      </c>
      <c r="AE184" s="25" t="s">
        <v>103</v>
      </c>
      <c r="AF184" s="22">
        <f t="shared" si="25"/>
        <v>1.1111111111111112</v>
      </c>
      <c r="AG184" s="15">
        <f t="shared" si="18"/>
        <v>3</v>
      </c>
      <c r="AH184" s="7">
        <f t="shared" si="19"/>
        <v>10</v>
      </c>
      <c r="AI184" s="7">
        <f t="shared" si="20"/>
        <v>0</v>
      </c>
      <c r="AJ184" s="7">
        <f t="shared" si="21"/>
        <v>0</v>
      </c>
      <c r="AK184" s="12">
        <f t="shared" si="22"/>
        <v>3</v>
      </c>
      <c r="AL184" s="14">
        <f t="shared" si="24"/>
        <v>16</v>
      </c>
      <c r="AM184" s="16" t="str">
        <f t="shared" si="23"/>
        <v>Potential</v>
      </c>
      <c r="AN184" s="116" t="s">
        <v>398</v>
      </c>
      <c r="AO184" s="114">
        <v>3</v>
      </c>
      <c r="AP184" s="25" t="s">
        <v>343</v>
      </c>
    </row>
    <row r="185" spans="1:42" ht="30" x14ac:dyDescent="0.25">
      <c r="A185" s="82">
        <v>44418</v>
      </c>
      <c r="B185" s="76"/>
      <c r="C185" s="25">
        <v>14000890</v>
      </c>
      <c r="D185" s="25" t="s">
        <v>160</v>
      </c>
      <c r="E185" s="77">
        <v>9</v>
      </c>
      <c r="F185" s="78">
        <v>620641.40853167302</v>
      </c>
      <c r="G185" s="79">
        <v>5990771.4645338496</v>
      </c>
      <c r="H185" s="77" t="s">
        <v>155</v>
      </c>
      <c r="I185" s="77" t="s">
        <v>121</v>
      </c>
      <c r="J185" s="80"/>
      <c r="K185" s="77" t="s">
        <v>388</v>
      </c>
      <c r="L185" s="25" t="s">
        <v>99</v>
      </c>
      <c r="M185" s="25" t="s">
        <v>100</v>
      </c>
      <c r="N185" s="75">
        <v>1</v>
      </c>
      <c r="O185" s="75">
        <v>13</v>
      </c>
      <c r="P185" s="25" t="s">
        <v>101</v>
      </c>
      <c r="Q185" s="75"/>
      <c r="R185" s="25"/>
      <c r="S185" s="25" t="s">
        <v>104</v>
      </c>
      <c r="T185" s="75">
        <v>50</v>
      </c>
      <c r="U185" s="75">
        <v>1.5</v>
      </c>
      <c r="V185" s="25">
        <v>0</v>
      </c>
      <c r="W185" s="75">
        <v>0</v>
      </c>
      <c r="X185" s="25" t="s">
        <v>101</v>
      </c>
      <c r="Y185" s="75">
        <v>3</v>
      </c>
      <c r="Z185" s="75">
        <v>0.9</v>
      </c>
      <c r="AA185" s="25">
        <v>2</v>
      </c>
      <c r="AB185" s="25" t="s">
        <v>101</v>
      </c>
      <c r="AC185" s="25" t="s">
        <v>101</v>
      </c>
      <c r="AD185" s="25" t="s">
        <v>102</v>
      </c>
      <c r="AE185" s="25" t="s">
        <v>110</v>
      </c>
      <c r="AF185" s="22">
        <f t="shared" si="25"/>
        <v>0.9</v>
      </c>
      <c r="AG185" s="15">
        <f t="shared" si="18"/>
        <v>0</v>
      </c>
      <c r="AH185" s="7">
        <f t="shared" si="19"/>
        <v>10</v>
      </c>
      <c r="AI185" s="7">
        <f t="shared" si="20"/>
        <v>0</v>
      </c>
      <c r="AJ185" s="7">
        <f t="shared" si="21"/>
        <v>10</v>
      </c>
      <c r="AK185" s="12">
        <f t="shared" si="22"/>
        <v>0</v>
      </c>
      <c r="AL185" s="14">
        <f t="shared" si="24"/>
        <v>20</v>
      </c>
      <c r="AM185" s="16" t="str">
        <f t="shared" si="23"/>
        <v>Barrier</v>
      </c>
      <c r="AN185" s="25" t="s">
        <v>398</v>
      </c>
      <c r="AO185" s="75">
        <v>3</v>
      </c>
      <c r="AP185" s="25" t="s">
        <v>549</v>
      </c>
    </row>
    <row r="186" spans="1:42" ht="30" x14ac:dyDescent="0.25">
      <c r="A186" s="82">
        <v>44418</v>
      </c>
      <c r="B186" s="76"/>
      <c r="C186" s="25">
        <v>14000894</v>
      </c>
      <c r="D186" s="25" t="s">
        <v>160</v>
      </c>
      <c r="E186" s="77">
        <v>9</v>
      </c>
      <c r="F186" s="78">
        <v>620681.50849077303</v>
      </c>
      <c r="G186" s="79">
        <v>5990582.9340779399</v>
      </c>
      <c r="H186" s="77" t="s">
        <v>155</v>
      </c>
      <c r="I186" s="77" t="s">
        <v>121</v>
      </c>
      <c r="J186" s="80"/>
      <c r="K186" s="77" t="s">
        <v>388</v>
      </c>
      <c r="L186" s="25" t="s">
        <v>99</v>
      </c>
      <c r="M186" s="25" t="s">
        <v>100</v>
      </c>
      <c r="N186" s="75">
        <v>0.5</v>
      </c>
      <c r="O186" s="75">
        <v>10</v>
      </c>
      <c r="P186" s="25" t="s">
        <v>101</v>
      </c>
      <c r="Q186" s="75"/>
      <c r="R186" s="25" t="s">
        <v>101</v>
      </c>
      <c r="S186" s="25" t="s">
        <v>101</v>
      </c>
      <c r="T186" s="75"/>
      <c r="U186" s="75">
        <v>1</v>
      </c>
      <c r="V186" s="25">
        <v>0</v>
      </c>
      <c r="W186" s="75">
        <v>0.2</v>
      </c>
      <c r="X186" s="25" t="s">
        <v>101</v>
      </c>
      <c r="Y186" s="75">
        <v>4</v>
      </c>
      <c r="Z186" s="75">
        <v>0.6</v>
      </c>
      <c r="AA186" s="25">
        <v>3</v>
      </c>
      <c r="AB186" s="25" t="s">
        <v>101</v>
      </c>
      <c r="AC186" s="25" t="s">
        <v>101</v>
      </c>
      <c r="AD186" s="25" t="s">
        <v>102</v>
      </c>
      <c r="AE186" s="25" t="s">
        <v>110</v>
      </c>
      <c r="AF186" s="22">
        <f t="shared" si="25"/>
        <v>1.2</v>
      </c>
      <c r="AG186" s="15">
        <f t="shared" si="18"/>
        <v>0</v>
      </c>
      <c r="AH186" s="7">
        <f t="shared" si="19"/>
        <v>10</v>
      </c>
      <c r="AI186" s="7">
        <f t="shared" si="20"/>
        <v>0</v>
      </c>
      <c r="AJ186" s="7">
        <f t="shared" si="21"/>
        <v>10</v>
      </c>
      <c r="AK186" s="12">
        <f t="shared" si="22"/>
        <v>3</v>
      </c>
      <c r="AL186" s="14">
        <f t="shared" si="24"/>
        <v>23</v>
      </c>
      <c r="AM186" s="16" t="str">
        <f t="shared" si="23"/>
        <v>Barrier</v>
      </c>
      <c r="AN186" s="25" t="s">
        <v>398</v>
      </c>
      <c r="AO186" s="75">
        <v>3</v>
      </c>
      <c r="AP186" s="25" t="s">
        <v>550</v>
      </c>
    </row>
    <row r="187" spans="1:42" ht="30" x14ac:dyDescent="0.25">
      <c r="A187" s="82">
        <v>44418</v>
      </c>
      <c r="B187" s="76"/>
      <c r="C187" s="25">
        <v>14000592</v>
      </c>
      <c r="D187" s="25" t="s">
        <v>160</v>
      </c>
      <c r="E187" s="77">
        <v>9</v>
      </c>
      <c r="F187" s="78">
        <v>620084.60317885596</v>
      </c>
      <c r="G187" s="79">
        <v>5994112.0088542001</v>
      </c>
      <c r="H187" s="77" t="s">
        <v>155</v>
      </c>
      <c r="I187" s="77" t="s">
        <v>353</v>
      </c>
      <c r="J187" s="80"/>
      <c r="K187" s="77" t="s">
        <v>364</v>
      </c>
      <c r="L187" s="25" t="s">
        <v>99</v>
      </c>
      <c r="M187" s="25" t="s">
        <v>100</v>
      </c>
      <c r="N187" s="75">
        <v>1</v>
      </c>
      <c r="O187" s="75">
        <v>13</v>
      </c>
      <c r="P187" s="25" t="s">
        <v>101</v>
      </c>
      <c r="Q187" s="75"/>
      <c r="R187" s="25" t="s">
        <v>101</v>
      </c>
      <c r="S187" s="25" t="s">
        <v>101</v>
      </c>
      <c r="T187" s="75"/>
      <c r="U187" s="75">
        <v>1</v>
      </c>
      <c r="V187" s="25">
        <v>0.3</v>
      </c>
      <c r="W187" s="75">
        <v>0.55000000000000004</v>
      </c>
      <c r="X187" s="25" t="s">
        <v>101</v>
      </c>
      <c r="Y187" s="75">
        <v>2</v>
      </c>
      <c r="Z187" s="75">
        <v>1.6</v>
      </c>
      <c r="AA187" s="25">
        <v>5</v>
      </c>
      <c r="AB187" s="25" t="s">
        <v>101</v>
      </c>
      <c r="AC187" s="25" t="s">
        <v>101</v>
      </c>
      <c r="AD187" s="25" t="s">
        <v>102</v>
      </c>
      <c r="AE187" s="25" t="s">
        <v>103</v>
      </c>
      <c r="AF187" s="22">
        <f t="shared" si="25"/>
        <v>1.6</v>
      </c>
      <c r="AG187" s="15">
        <f t="shared" si="18"/>
        <v>0</v>
      </c>
      <c r="AH187" s="7">
        <f t="shared" si="19"/>
        <v>10</v>
      </c>
      <c r="AI187" s="7">
        <f t="shared" si="20"/>
        <v>10</v>
      </c>
      <c r="AJ187" s="7">
        <f t="shared" si="21"/>
        <v>5</v>
      </c>
      <c r="AK187" s="12">
        <f t="shared" si="22"/>
        <v>6</v>
      </c>
      <c r="AL187" s="14">
        <f t="shared" si="24"/>
        <v>31</v>
      </c>
      <c r="AM187" s="16" t="str">
        <f t="shared" si="23"/>
        <v>Barrier</v>
      </c>
      <c r="AN187" s="25" t="s">
        <v>398</v>
      </c>
      <c r="AO187" s="75">
        <v>3</v>
      </c>
      <c r="AP187" s="25" t="s">
        <v>344</v>
      </c>
    </row>
    <row r="188" spans="1:42" ht="30" x14ac:dyDescent="0.25">
      <c r="A188" s="117">
        <v>44419</v>
      </c>
      <c r="B188" s="76"/>
      <c r="C188" s="116">
        <v>14001112</v>
      </c>
      <c r="D188" s="116" t="s">
        <v>160</v>
      </c>
      <c r="E188" s="77">
        <v>9</v>
      </c>
      <c r="F188" s="78">
        <v>627288.56386306998</v>
      </c>
      <c r="G188" s="79">
        <v>6003664.6206075503</v>
      </c>
      <c r="H188" s="77" t="s">
        <v>155</v>
      </c>
      <c r="I188" s="77" t="s">
        <v>274</v>
      </c>
      <c r="J188" s="80"/>
      <c r="K188" s="77" t="s">
        <v>364</v>
      </c>
      <c r="L188" s="116" t="s">
        <v>112</v>
      </c>
      <c r="M188" s="116" t="s">
        <v>113</v>
      </c>
      <c r="N188" s="122"/>
      <c r="O188" s="122"/>
      <c r="P188" s="121"/>
      <c r="Q188" s="122"/>
      <c r="R188" s="121"/>
      <c r="S188" s="121"/>
      <c r="T188" s="122"/>
      <c r="U188" s="122"/>
      <c r="V188" s="121"/>
      <c r="W188" s="122"/>
      <c r="X188" s="121"/>
      <c r="Y188" s="122"/>
      <c r="Z188" s="122"/>
      <c r="AA188" s="121"/>
      <c r="AB188" s="116"/>
      <c r="AC188" s="116"/>
      <c r="AD188" s="121"/>
      <c r="AE188" s="121"/>
      <c r="AF188" s="22">
        <f t="shared" si="25"/>
        <v>0</v>
      </c>
      <c r="AG188" s="15">
        <f t="shared" si="18"/>
        <v>0</v>
      </c>
      <c r="AH188" s="7">
        <f t="shared" si="19"/>
        <v>0</v>
      </c>
      <c r="AI188" s="7">
        <f t="shared" si="20"/>
        <v>0</v>
      </c>
      <c r="AJ188" s="7">
        <f t="shared" si="21"/>
        <v>0</v>
      </c>
      <c r="AK188" s="12">
        <f t="shared" si="22"/>
        <v>0</v>
      </c>
      <c r="AL188" s="14">
        <f t="shared" si="24"/>
        <v>0</v>
      </c>
      <c r="AM188" s="16" t="str">
        <f t="shared" si="23"/>
        <v>Unknown</v>
      </c>
      <c r="AN188" s="116"/>
      <c r="AO188" s="114"/>
      <c r="AP188" s="116" t="s">
        <v>348</v>
      </c>
    </row>
    <row r="189" spans="1:42" ht="30" x14ac:dyDescent="0.25">
      <c r="A189" s="82">
        <v>44418</v>
      </c>
      <c r="B189" s="76"/>
      <c r="C189" s="25">
        <v>14001062</v>
      </c>
      <c r="D189" s="25" t="s">
        <v>160</v>
      </c>
      <c r="E189" s="77">
        <v>9</v>
      </c>
      <c r="F189" s="78">
        <v>622408.00336902705</v>
      </c>
      <c r="G189" s="79">
        <v>5997287.0422632797</v>
      </c>
      <c r="H189" s="77" t="s">
        <v>155</v>
      </c>
      <c r="I189" s="77" t="s">
        <v>165</v>
      </c>
      <c r="J189" s="80">
        <v>2</v>
      </c>
      <c r="K189" s="77" t="s">
        <v>386</v>
      </c>
      <c r="L189" s="25" t="s">
        <v>99</v>
      </c>
      <c r="M189" s="25" t="s">
        <v>100</v>
      </c>
      <c r="N189" s="75">
        <v>0.6</v>
      </c>
      <c r="O189" s="75">
        <v>15</v>
      </c>
      <c r="P189" s="25" t="s">
        <v>101</v>
      </c>
      <c r="Q189" s="75"/>
      <c r="R189" s="25" t="s">
        <v>101</v>
      </c>
      <c r="S189" s="25" t="s">
        <v>101</v>
      </c>
      <c r="T189" s="75"/>
      <c r="U189" s="75">
        <v>1.5</v>
      </c>
      <c r="V189" s="25">
        <v>0.1</v>
      </c>
      <c r="W189" s="75">
        <v>0.15</v>
      </c>
      <c r="X189" s="25" t="s">
        <v>101</v>
      </c>
      <c r="Y189" s="75">
        <v>3</v>
      </c>
      <c r="Z189" s="75">
        <v>0.6</v>
      </c>
      <c r="AA189" s="25">
        <v>1</v>
      </c>
      <c r="AB189" s="25" t="s">
        <v>101</v>
      </c>
      <c r="AC189" s="25" t="s">
        <v>101</v>
      </c>
      <c r="AD189" s="25" t="s">
        <v>102</v>
      </c>
      <c r="AE189" s="25" t="s">
        <v>110</v>
      </c>
      <c r="AF189" s="22">
        <f t="shared" si="25"/>
        <v>1</v>
      </c>
      <c r="AG189" s="15">
        <f t="shared" si="18"/>
        <v>3</v>
      </c>
      <c r="AH189" s="7">
        <f t="shared" si="19"/>
        <v>10</v>
      </c>
      <c r="AI189" s="7">
        <f t="shared" si="20"/>
        <v>0</v>
      </c>
      <c r="AJ189" s="7">
        <f t="shared" si="21"/>
        <v>10</v>
      </c>
      <c r="AK189" s="12">
        <f t="shared" si="22"/>
        <v>3</v>
      </c>
      <c r="AL189" s="14">
        <f t="shared" si="24"/>
        <v>26</v>
      </c>
      <c r="AM189" s="16" t="str">
        <f t="shared" si="23"/>
        <v>Barrier</v>
      </c>
      <c r="AN189" s="25" t="s">
        <v>398</v>
      </c>
      <c r="AO189" s="75">
        <v>3</v>
      </c>
      <c r="AP189" s="25" t="s">
        <v>345</v>
      </c>
    </row>
    <row r="190" spans="1:42" ht="30" x14ac:dyDescent="0.25">
      <c r="A190" s="117">
        <v>44419</v>
      </c>
      <c r="B190" s="76"/>
      <c r="C190" s="116">
        <v>14000799</v>
      </c>
      <c r="D190" s="116" t="s">
        <v>160</v>
      </c>
      <c r="E190" s="77">
        <v>9</v>
      </c>
      <c r="F190" s="78">
        <v>623421.99779612303</v>
      </c>
      <c r="G190" s="79">
        <v>6001387.9978659004</v>
      </c>
      <c r="H190" s="77" t="s">
        <v>155</v>
      </c>
      <c r="I190" s="77" t="s">
        <v>167</v>
      </c>
      <c r="J190" s="80">
        <v>47</v>
      </c>
      <c r="K190" s="77" t="s">
        <v>378</v>
      </c>
      <c r="L190" s="116" t="s">
        <v>99</v>
      </c>
      <c r="M190" s="116" t="s">
        <v>100</v>
      </c>
      <c r="N190" s="114">
        <v>0.9</v>
      </c>
      <c r="O190" s="114">
        <v>13</v>
      </c>
      <c r="P190" s="116" t="s">
        <v>101</v>
      </c>
      <c r="Q190" s="122"/>
      <c r="R190" s="116" t="s">
        <v>101</v>
      </c>
      <c r="S190" s="116" t="s">
        <v>101</v>
      </c>
      <c r="T190" s="122"/>
      <c r="U190" s="114">
        <v>1</v>
      </c>
      <c r="V190" s="116">
        <v>1.6</v>
      </c>
      <c r="W190" s="114">
        <v>0.3</v>
      </c>
      <c r="X190" s="116" t="s">
        <v>104</v>
      </c>
      <c r="Y190" s="114">
        <v>5</v>
      </c>
      <c r="Z190" s="114">
        <v>1.4</v>
      </c>
      <c r="AA190" s="116">
        <v>8</v>
      </c>
      <c r="AB190" s="116" t="s">
        <v>101</v>
      </c>
      <c r="AC190" s="116" t="s">
        <v>101</v>
      </c>
      <c r="AD190" s="116" t="s">
        <v>102</v>
      </c>
      <c r="AE190" s="116" t="s">
        <v>110</v>
      </c>
      <c r="AF190" s="22">
        <f t="shared" si="25"/>
        <v>1.5555555555555554</v>
      </c>
      <c r="AG190" s="15">
        <f t="shared" si="18"/>
        <v>0</v>
      </c>
      <c r="AH190" s="7">
        <f t="shared" si="19"/>
        <v>10</v>
      </c>
      <c r="AI190" s="7">
        <f t="shared" si="20"/>
        <v>10</v>
      </c>
      <c r="AJ190" s="7">
        <f t="shared" si="21"/>
        <v>10</v>
      </c>
      <c r="AK190" s="12">
        <f t="shared" si="22"/>
        <v>6</v>
      </c>
      <c r="AL190" s="14">
        <f t="shared" si="24"/>
        <v>36</v>
      </c>
      <c r="AM190" s="16" t="str">
        <f t="shared" si="23"/>
        <v>Barrier</v>
      </c>
      <c r="AN190" s="116" t="s">
        <v>398</v>
      </c>
      <c r="AO190" s="114">
        <v>3</v>
      </c>
      <c r="AP190" s="116" t="s">
        <v>350</v>
      </c>
    </row>
    <row r="191" spans="1:42" ht="30" x14ac:dyDescent="0.25">
      <c r="A191" s="117">
        <v>44419</v>
      </c>
      <c r="B191" s="76"/>
      <c r="C191" s="116">
        <v>14001170</v>
      </c>
      <c r="D191" s="116" t="s">
        <v>160</v>
      </c>
      <c r="E191" s="77">
        <v>9</v>
      </c>
      <c r="F191" s="78">
        <v>627520.83927341201</v>
      </c>
      <c r="G191" s="79">
        <v>6004422.9413773697</v>
      </c>
      <c r="H191" s="77" t="s">
        <v>155</v>
      </c>
      <c r="I191" s="77" t="s">
        <v>166</v>
      </c>
      <c r="J191" s="80"/>
      <c r="K191" s="77" t="s">
        <v>387</v>
      </c>
      <c r="L191" s="116" t="s">
        <v>99</v>
      </c>
      <c r="M191" s="116" t="s">
        <v>100</v>
      </c>
      <c r="N191" s="114">
        <v>1.2</v>
      </c>
      <c r="O191" s="114">
        <v>9</v>
      </c>
      <c r="P191" s="116" t="s">
        <v>104</v>
      </c>
      <c r="Q191" s="114">
        <v>0.1</v>
      </c>
      <c r="R191" s="116" t="s">
        <v>104</v>
      </c>
      <c r="S191" s="116" t="s">
        <v>104</v>
      </c>
      <c r="T191" s="114">
        <v>100</v>
      </c>
      <c r="U191" s="114">
        <v>0.5</v>
      </c>
      <c r="V191" s="116">
        <v>0</v>
      </c>
      <c r="W191" s="114">
        <v>0</v>
      </c>
      <c r="X191" s="116" t="s">
        <v>101</v>
      </c>
      <c r="Y191" s="114">
        <v>4</v>
      </c>
      <c r="Z191" s="114">
        <v>2</v>
      </c>
      <c r="AA191" s="116">
        <v>7</v>
      </c>
      <c r="AB191" s="116" t="s">
        <v>101</v>
      </c>
      <c r="AC191" s="116" t="s">
        <v>101</v>
      </c>
      <c r="AD191" s="116" t="s">
        <v>102</v>
      </c>
      <c r="AE191" s="116" t="s">
        <v>103</v>
      </c>
      <c r="AF191" s="22">
        <f t="shared" si="25"/>
        <v>1.6666666666666667</v>
      </c>
      <c r="AG191" s="15">
        <f t="shared" si="18"/>
        <v>0</v>
      </c>
      <c r="AH191" s="7">
        <f t="shared" si="19"/>
        <v>5</v>
      </c>
      <c r="AI191" s="7">
        <f t="shared" si="20"/>
        <v>0</v>
      </c>
      <c r="AJ191" s="7">
        <f t="shared" si="21"/>
        <v>10</v>
      </c>
      <c r="AK191" s="12">
        <f t="shared" si="22"/>
        <v>6</v>
      </c>
      <c r="AL191" s="14">
        <f t="shared" si="24"/>
        <v>21</v>
      </c>
      <c r="AM191" s="16" t="str">
        <f t="shared" si="23"/>
        <v>Barrier</v>
      </c>
      <c r="AN191" s="116" t="s">
        <v>399</v>
      </c>
      <c r="AO191" s="114">
        <v>10</v>
      </c>
      <c r="AP191" s="116" t="s">
        <v>349</v>
      </c>
    </row>
    <row r="192" spans="1:42" ht="30" x14ac:dyDescent="0.25">
      <c r="A192" s="82">
        <v>44418</v>
      </c>
      <c r="B192" s="76"/>
      <c r="C192" s="25">
        <v>14000968</v>
      </c>
      <c r="D192" s="25" t="s">
        <v>160</v>
      </c>
      <c r="E192" s="77">
        <v>9</v>
      </c>
      <c r="F192" s="78">
        <v>623985.99863787799</v>
      </c>
      <c r="G192" s="79">
        <v>6001190.9967943504</v>
      </c>
      <c r="H192" s="77" t="s">
        <v>155</v>
      </c>
      <c r="I192" s="77" t="s">
        <v>121</v>
      </c>
      <c r="J192" s="80"/>
      <c r="K192" s="77" t="s">
        <v>386</v>
      </c>
      <c r="L192" s="25" t="s">
        <v>99</v>
      </c>
      <c r="M192" s="25" t="s">
        <v>120</v>
      </c>
      <c r="N192" s="75">
        <v>1.5</v>
      </c>
      <c r="O192" s="75">
        <v>14</v>
      </c>
      <c r="P192" s="25" t="s">
        <v>101</v>
      </c>
      <c r="Q192" s="75"/>
      <c r="R192" s="25" t="s">
        <v>101</v>
      </c>
      <c r="S192" s="25" t="s">
        <v>101</v>
      </c>
      <c r="T192" s="75"/>
      <c r="U192" s="75">
        <v>1</v>
      </c>
      <c r="V192" s="25">
        <v>0.15</v>
      </c>
      <c r="W192" s="75">
        <v>0.18</v>
      </c>
      <c r="X192" s="25" t="s">
        <v>101</v>
      </c>
      <c r="Y192" s="75">
        <v>7</v>
      </c>
      <c r="Z192" s="75">
        <v>0.9</v>
      </c>
      <c r="AA192" s="25">
        <v>9</v>
      </c>
      <c r="AB192" s="25" t="s">
        <v>101</v>
      </c>
      <c r="AC192" s="25" t="s">
        <v>101</v>
      </c>
      <c r="AD192" s="25" t="s">
        <v>102</v>
      </c>
      <c r="AE192" s="25" t="s">
        <v>110</v>
      </c>
      <c r="AF192" s="22">
        <f t="shared" si="25"/>
        <v>0.6</v>
      </c>
      <c r="AG192" s="15">
        <f t="shared" si="18"/>
        <v>0</v>
      </c>
      <c r="AH192" s="7">
        <f t="shared" si="19"/>
        <v>10</v>
      </c>
      <c r="AI192" s="7">
        <f t="shared" si="20"/>
        <v>5</v>
      </c>
      <c r="AJ192" s="7">
        <f t="shared" si="21"/>
        <v>10</v>
      </c>
      <c r="AK192" s="12">
        <f t="shared" si="22"/>
        <v>0</v>
      </c>
      <c r="AL192" s="14">
        <f t="shared" si="24"/>
        <v>25</v>
      </c>
      <c r="AM192" s="16" t="str">
        <f t="shared" si="23"/>
        <v>Barrier</v>
      </c>
      <c r="AN192" s="25" t="s">
        <v>398</v>
      </c>
      <c r="AO192" s="75">
        <v>3</v>
      </c>
      <c r="AP192" s="25" t="s">
        <v>346</v>
      </c>
    </row>
    <row r="193" spans="1:42" ht="30" x14ac:dyDescent="0.25">
      <c r="A193" s="117">
        <v>44417</v>
      </c>
      <c r="B193" s="76"/>
      <c r="C193" s="116">
        <v>14000196</v>
      </c>
      <c r="D193" s="116" t="s">
        <v>160</v>
      </c>
      <c r="E193" s="77">
        <v>9</v>
      </c>
      <c r="F193" s="78">
        <v>617725.992598688</v>
      </c>
      <c r="G193" s="79">
        <v>5998773.98652298</v>
      </c>
      <c r="H193" s="77" t="s">
        <v>351</v>
      </c>
      <c r="I193" s="77" t="s">
        <v>121</v>
      </c>
      <c r="J193" s="80"/>
      <c r="K193" s="77" t="s">
        <v>362</v>
      </c>
      <c r="L193" s="116" t="s">
        <v>95</v>
      </c>
      <c r="M193" s="116" t="s">
        <v>96</v>
      </c>
      <c r="N193" s="114">
        <v>10</v>
      </c>
      <c r="O193" s="114">
        <v>5</v>
      </c>
      <c r="P193" s="121"/>
      <c r="Q193" s="122"/>
      <c r="R193" s="121"/>
      <c r="S193" s="121"/>
      <c r="T193" s="122"/>
      <c r="U193" s="122"/>
      <c r="V193" s="121"/>
      <c r="W193" s="122"/>
      <c r="X193" s="121"/>
      <c r="Y193" s="122"/>
      <c r="Z193" s="122"/>
      <c r="AA193" s="121"/>
      <c r="AB193" s="116"/>
      <c r="AC193" s="116"/>
      <c r="AD193" s="121"/>
      <c r="AE193" s="121"/>
      <c r="AF193" s="22">
        <f t="shared" si="25"/>
        <v>0</v>
      </c>
      <c r="AG193" s="15">
        <f t="shared" si="18"/>
        <v>0</v>
      </c>
      <c r="AH193" s="7">
        <f t="shared" si="19"/>
        <v>0</v>
      </c>
      <c r="AI193" s="7">
        <f t="shared" si="20"/>
        <v>0</v>
      </c>
      <c r="AJ193" s="7">
        <f t="shared" si="21"/>
        <v>0</v>
      </c>
      <c r="AK193" s="12">
        <f t="shared" si="22"/>
        <v>0</v>
      </c>
      <c r="AL193" s="14">
        <f t="shared" si="24"/>
        <v>0</v>
      </c>
      <c r="AM193" s="16" t="str">
        <f t="shared" si="23"/>
        <v>Passable</v>
      </c>
      <c r="AN193" s="121"/>
      <c r="AO193" s="122"/>
      <c r="AP193" s="116" t="s">
        <v>340</v>
      </c>
    </row>
    <row r="194" spans="1:42" ht="30" x14ac:dyDescent="0.25">
      <c r="A194" s="117">
        <v>44417</v>
      </c>
      <c r="B194" s="76"/>
      <c r="C194" s="116">
        <v>14000217</v>
      </c>
      <c r="D194" s="116" t="s">
        <v>160</v>
      </c>
      <c r="E194" s="77">
        <v>9</v>
      </c>
      <c r="F194" s="78">
        <v>617051.01810414903</v>
      </c>
      <c r="G194" s="79">
        <v>5997021.0092293704</v>
      </c>
      <c r="H194" s="77" t="s">
        <v>351</v>
      </c>
      <c r="I194" s="77" t="s">
        <v>161</v>
      </c>
      <c r="J194" s="80">
        <v>59</v>
      </c>
      <c r="K194" s="77" t="s">
        <v>362</v>
      </c>
      <c r="L194" s="116" t="s">
        <v>95</v>
      </c>
      <c r="M194" s="116" t="s">
        <v>352</v>
      </c>
      <c r="N194" s="114">
        <v>0.9</v>
      </c>
      <c r="O194" s="114">
        <v>9</v>
      </c>
      <c r="P194" s="121"/>
      <c r="Q194" s="122"/>
      <c r="R194" s="121"/>
      <c r="S194" s="121"/>
      <c r="T194" s="122"/>
      <c r="U194" s="122"/>
      <c r="V194" s="121"/>
      <c r="W194" s="122"/>
      <c r="X194" s="121"/>
      <c r="Y194" s="122"/>
      <c r="Z194" s="122"/>
      <c r="AA194" s="121"/>
      <c r="AB194" s="116"/>
      <c r="AC194" s="116"/>
      <c r="AD194" s="121"/>
      <c r="AE194" s="121"/>
      <c r="AF194" s="22">
        <f t="shared" si="25"/>
        <v>0</v>
      </c>
      <c r="AG194" s="15">
        <f t="shared" si="18"/>
        <v>0</v>
      </c>
      <c r="AH194" s="7">
        <f t="shared" si="19"/>
        <v>0</v>
      </c>
      <c r="AI194" s="7">
        <f t="shared" si="20"/>
        <v>0</v>
      </c>
      <c r="AJ194" s="7">
        <f t="shared" si="21"/>
        <v>0</v>
      </c>
      <c r="AK194" s="12">
        <f t="shared" si="22"/>
        <v>0</v>
      </c>
      <c r="AL194" s="14">
        <f t="shared" si="24"/>
        <v>0</v>
      </c>
      <c r="AM194" s="16" t="str">
        <f t="shared" si="23"/>
        <v>Passable</v>
      </c>
      <c r="AN194" s="121"/>
      <c r="AO194" s="122"/>
      <c r="AP194" s="116" t="s">
        <v>339</v>
      </c>
    </row>
    <row r="195" spans="1:42" ht="30" x14ac:dyDescent="0.25">
      <c r="A195" s="117">
        <v>44444</v>
      </c>
      <c r="B195" s="76"/>
      <c r="C195" s="116">
        <v>2021090551</v>
      </c>
      <c r="D195" s="116" t="s">
        <v>170</v>
      </c>
      <c r="E195" s="77">
        <v>9</v>
      </c>
      <c r="F195" s="78">
        <v>673235</v>
      </c>
      <c r="G195" s="79">
        <v>6043218</v>
      </c>
      <c r="H195" s="77" t="s">
        <v>137</v>
      </c>
      <c r="I195" s="77" t="s">
        <v>246</v>
      </c>
      <c r="J195" s="80"/>
      <c r="K195" s="77" t="s">
        <v>361</v>
      </c>
      <c r="L195" s="116" t="s">
        <v>99</v>
      </c>
      <c r="M195" s="116" t="s">
        <v>100</v>
      </c>
      <c r="N195" s="114">
        <v>0.1</v>
      </c>
      <c r="O195" s="114">
        <v>15</v>
      </c>
      <c r="P195" s="116" t="s">
        <v>101</v>
      </c>
      <c r="Q195" s="122"/>
      <c r="R195" s="116" t="s">
        <v>101</v>
      </c>
      <c r="S195" s="116" t="s">
        <v>101</v>
      </c>
      <c r="T195" s="122"/>
      <c r="U195" s="114">
        <v>2</v>
      </c>
      <c r="V195" s="116">
        <v>0</v>
      </c>
      <c r="W195" s="114">
        <v>0</v>
      </c>
      <c r="X195" s="116" t="s">
        <v>101</v>
      </c>
      <c r="Y195" s="114">
        <v>3</v>
      </c>
      <c r="Z195" s="114">
        <v>5</v>
      </c>
      <c r="AA195" s="116">
        <v>1</v>
      </c>
      <c r="AB195" s="116" t="s">
        <v>101</v>
      </c>
      <c r="AC195" s="116" t="s">
        <v>101</v>
      </c>
      <c r="AD195" s="116" t="s">
        <v>102</v>
      </c>
      <c r="AE195" s="116" t="s">
        <v>139</v>
      </c>
      <c r="AF195" s="22">
        <f t="shared" si="25"/>
        <v>50</v>
      </c>
      <c r="AG195" s="15">
        <f t="shared" si="18"/>
        <v>3</v>
      </c>
      <c r="AH195" s="7">
        <f t="shared" si="19"/>
        <v>10</v>
      </c>
      <c r="AI195" s="7">
        <f t="shared" si="20"/>
        <v>0</v>
      </c>
      <c r="AJ195" s="7">
        <f t="shared" si="21"/>
        <v>10</v>
      </c>
      <c r="AK195" s="12">
        <f t="shared" si="22"/>
        <v>6</v>
      </c>
      <c r="AL195" s="14">
        <f t="shared" si="24"/>
        <v>29</v>
      </c>
      <c r="AM195" s="16" t="str">
        <f t="shared" si="23"/>
        <v>Barrier</v>
      </c>
      <c r="AN195" s="116" t="s">
        <v>399</v>
      </c>
      <c r="AO195" s="114">
        <v>10</v>
      </c>
      <c r="AP195" s="116" t="s">
        <v>400</v>
      </c>
    </row>
    <row r="196" spans="1:42" x14ac:dyDescent="0.25">
      <c r="A196" s="117"/>
      <c r="B196" s="76"/>
      <c r="C196" s="125"/>
      <c r="D196" s="125"/>
      <c r="E196" s="77"/>
      <c r="F196" s="78"/>
      <c r="G196" s="79"/>
      <c r="H196" s="77"/>
      <c r="I196" s="77"/>
      <c r="J196" s="80"/>
      <c r="K196" s="77"/>
      <c r="L196" s="125"/>
      <c r="M196" s="125"/>
      <c r="N196" s="114"/>
      <c r="O196" s="114"/>
      <c r="P196" s="125"/>
      <c r="Q196" s="114"/>
      <c r="R196" s="125"/>
      <c r="S196" s="125"/>
      <c r="T196" s="114"/>
      <c r="U196" s="114"/>
      <c r="V196" s="125"/>
      <c r="W196" s="114"/>
      <c r="X196" s="125"/>
      <c r="Y196" s="114"/>
      <c r="Z196" s="114"/>
      <c r="AA196" s="125"/>
      <c r="AB196" s="125"/>
      <c r="AC196" s="125"/>
      <c r="AD196" s="125"/>
      <c r="AE196" s="1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125"/>
      <c r="AO196" s="114"/>
      <c r="AP196" s="125"/>
    </row>
    <row r="197" spans="1:42" x14ac:dyDescent="0.25">
      <c r="A197" s="117"/>
      <c r="B197" s="76"/>
      <c r="C197" s="116"/>
      <c r="D197" s="116"/>
      <c r="E197" s="77"/>
      <c r="F197" s="78"/>
      <c r="G197" s="79"/>
      <c r="H197" s="77"/>
      <c r="I197" s="77"/>
      <c r="J197" s="80"/>
      <c r="K197" s="77"/>
      <c r="L197" s="116"/>
      <c r="M197" s="116"/>
      <c r="N197" s="114"/>
      <c r="O197" s="114"/>
      <c r="P197" s="116"/>
      <c r="Q197" s="114"/>
      <c r="R197" s="116"/>
      <c r="S197" s="116"/>
      <c r="T197" s="114"/>
      <c r="U197" s="114"/>
      <c r="V197" s="116"/>
      <c r="W197" s="114"/>
      <c r="X197" s="116"/>
      <c r="Y197" s="114"/>
      <c r="Z197" s="114"/>
      <c r="AA197" s="116"/>
      <c r="AB197" s="116"/>
      <c r="AC197" s="116"/>
      <c r="AD197" s="116"/>
      <c r="AE197" s="116"/>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116"/>
      <c r="AO197" s="114"/>
      <c r="AP197" s="116"/>
    </row>
    <row r="198" spans="1:42" x14ac:dyDescent="0.25">
      <c r="A198" s="117"/>
      <c r="B198" s="76"/>
      <c r="C198" s="116"/>
      <c r="D198" s="116"/>
      <c r="E198" s="77"/>
      <c r="F198" s="78"/>
      <c r="G198" s="79"/>
      <c r="H198" s="77"/>
      <c r="I198" s="77"/>
      <c r="J198" s="80"/>
      <c r="K198" s="77"/>
      <c r="L198" s="116"/>
      <c r="M198" s="116"/>
      <c r="N198" s="114"/>
      <c r="O198" s="114"/>
      <c r="P198" s="116"/>
      <c r="Q198" s="114"/>
      <c r="R198" s="116"/>
      <c r="S198" s="116"/>
      <c r="T198" s="114"/>
      <c r="U198" s="114"/>
      <c r="V198" s="116"/>
      <c r="W198" s="114"/>
      <c r="X198" s="116"/>
      <c r="Y198" s="114"/>
      <c r="Z198" s="114"/>
      <c r="AA198" s="116"/>
      <c r="AB198" s="116"/>
      <c r="AC198" s="116"/>
      <c r="AD198" s="116"/>
      <c r="AE198" s="116"/>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116"/>
      <c r="AO198" s="114"/>
      <c r="AP198" s="116"/>
    </row>
    <row r="199" spans="1:42" x14ac:dyDescent="0.25">
      <c r="A199" s="117"/>
      <c r="B199" s="76"/>
      <c r="C199" s="116"/>
      <c r="D199" s="116"/>
      <c r="E199" s="77"/>
      <c r="F199" s="78"/>
      <c r="G199" s="79"/>
      <c r="H199" s="77"/>
      <c r="I199" s="77"/>
      <c r="J199" s="80"/>
      <c r="K199" s="77"/>
      <c r="L199" s="116"/>
      <c r="M199" s="116"/>
      <c r="N199" s="114"/>
      <c r="O199" s="114"/>
      <c r="P199" s="116"/>
      <c r="Q199" s="114"/>
      <c r="R199" s="116"/>
      <c r="S199" s="116"/>
      <c r="T199" s="114"/>
      <c r="U199" s="114"/>
      <c r="V199" s="116"/>
      <c r="W199" s="114"/>
      <c r="X199" s="116"/>
      <c r="Y199" s="114"/>
      <c r="Z199" s="114"/>
      <c r="AA199" s="116"/>
      <c r="AB199" s="116"/>
      <c r="AC199" s="116"/>
      <c r="AD199" s="116"/>
      <c r="AE199" s="116"/>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116"/>
      <c r="AO199" s="114"/>
      <c r="AP199" s="116"/>
    </row>
    <row r="200" spans="1:42" x14ac:dyDescent="0.25">
      <c r="A200" s="117"/>
      <c r="B200" s="76"/>
      <c r="C200" s="116"/>
      <c r="D200" s="116"/>
      <c r="E200" s="77"/>
      <c r="F200" s="78"/>
      <c r="G200" s="79"/>
      <c r="H200" s="77"/>
      <c r="I200" s="77"/>
      <c r="J200" s="80"/>
      <c r="K200" s="77"/>
      <c r="L200" s="116"/>
      <c r="M200" s="116"/>
      <c r="N200" s="114"/>
      <c r="O200" s="114"/>
      <c r="P200" s="116"/>
      <c r="Q200" s="114"/>
      <c r="R200" s="116"/>
      <c r="S200" s="116"/>
      <c r="T200" s="114"/>
      <c r="U200" s="114"/>
      <c r="V200" s="116"/>
      <c r="W200" s="114"/>
      <c r="X200" s="116"/>
      <c r="Y200" s="114"/>
      <c r="Z200" s="114"/>
      <c r="AA200" s="116"/>
      <c r="AB200" s="25"/>
      <c r="AC200" s="25"/>
      <c r="AD200" s="116"/>
      <c r="AE200" s="116"/>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116"/>
    </row>
    <row r="201" spans="1:42" x14ac:dyDescent="0.25">
      <c r="A201" s="117"/>
      <c r="B201" s="76"/>
      <c r="C201" s="116"/>
      <c r="D201" s="116"/>
      <c r="E201" s="77"/>
      <c r="F201" s="78"/>
      <c r="G201" s="79"/>
      <c r="H201" s="77"/>
      <c r="I201" s="77"/>
      <c r="J201" s="80"/>
      <c r="K201" s="77"/>
      <c r="L201" s="116"/>
      <c r="M201" s="116"/>
      <c r="N201" s="114"/>
      <c r="O201" s="114"/>
      <c r="P201" s="116"/>
      <c r="Q201" s="114"/>
      <c r="R201" s="116"/>
      <c r="S201" s="116"/>
      <c r="T201" s="114"/>
      <c r="U201" s="114"/>
      <c r="V201" s="116"/>
      <c r="W201" s="114"/>
      <c r="X201" s="116"/>
      <c r="Y201" s="114"/>
      <c r="Z201" s="114"/>
      <c r="AA201" s="116"/>
      <c r="AB201" s="25"/>
      <c r="AC201" s="25"/>
      <c r="AD201" s="116"/>
      <c r="AE201" s="116"/>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116"/>
      <c r="AO201" s="114"/>
      <c r="AP201" s="116"/>
    </row>
    <row r="202" spans="1:42" x14ac:dyDescent="0.25">
      <c r="A202" s="117"/>
      <c r="B202" s="76"/>
      <c r="C202" s="116"/>
      <c r="D202" s="116"/>
      <c r="E202" s="77"/>
      <c r="F202" s="78"/>
      <c r="G202" s="79"/>
      <c r="H202" s="77"/>
      <c r="I202" s="77"/>
      <c r="J202" s="80"/>
      <c r="K202" s="77"/>
      <c r="L202" s="116"/>
      <c r="M202" s="116"/>
      <c r="N202" s="114"/>
      <c r="O202" s="114"/>
      <c r="P202" s="116"/>
      <c r="Q202" s="114"/>
      <c r="R202" s="116"/>
      <c r="S202" s="116"/>
      <c r="T202" s="114"/>
      <c r="U202" s="114"/>
      <c r="V202" s="116"/>
      <c r="W202" s="114"/>
      <c r="X202" s="116"/>
      <c r="Y202" s="114"/>
      <c r="Z202" s="114"/>
      <c r="AA202" s="116"/>
      <c r="AB202" s="25"/>
      <c r="AC202" s="25"/>
      <c r="AD202" s="116"/>
      <c r="AE202" s="116"/>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116"/>
      <c r="AO202" s="114"/>
      <c r="AP202" s="116"/>
    </row>
    <row r="203" spans="1:42" x14ac:dyDescent="0.25">
      <c r="A203" s="117"/>
      <c r="B203" s="76"/>
      <c r="C203" s="116"/>
      <c r="D203" s="116"/>
      <c r="E203" s="77"/>
      <c r="F203" s="78"/>
      <c r="G203" s="79"/>
      <c r="H203" s="77"/>
      <c r="I203" s="77"/>
      <c r="J203" s="80"/>
      <c r="K203" s="77"/>
      <c r="L203" s="116"/>
      <c r="M203" s="116"/>
      <c r="N203" s="114"/>
      <c r="O203" s="114"/>
      <c r="P203" s="116"/>
      <c r="Q203" s="114"/>
      <c r="R203" s="116"/>
      <c r="S203" s="116"/>
      <c r="T203" s="114"/>
      <c r="U203" s="114"/>
      <c r="V203" s="116"/>
      <c r="W203" s="114"/>
      <c r="X203" s="116"/>
      <c r="Y203" s="114"/>
      <c r="Z203" s="114"/>
      <c r="AA203" s="116"/>
      <c r="AB203" s="25"/>
      <c r="AC203" s="25"/>
      <c r="AD203" s="116"/>
      <c r="AE203" s="116"/>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116"/>
      <c r="AO203" s="114"/>
      <c r="AP203" s="116"/>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41"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41"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41"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41"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41"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41"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41"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41"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41"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41"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41"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41"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41"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c r="AN1021" s="116"/>
      <c r="AO1021" s="114"/>
    </row>
    <row r="1022" spans="32:41"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41"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41"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O1O7+GVIv6tVFtpAk6TgYhIl33bnvUTgkeFlv8HiEErH1AFZr1O3a38vSlArUc0ZUeWtPbXzOoKCrP2MRpvBw==" saltValue="af8WzqWNJaBaaV3/VkzF7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90">
    <dataValidation type="list" allowBlank="1" showInputMessage="1" showErrorMessage="1" sqref="AM5284:AM65536" xr:uid="{00000000-0002-0000-0200-000000000000}">
      <formula1>"Passable, Potential, Barrier, Unkown"</formula1>
    </dataValidation>
    <dataValidation type="list" allowBlank="1" showInputMessage="1" showErrorMessage="1" sqref="M189 M43 M192 M204:M65536 M174 M176:M177 M180 M182 M184:M187"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184:Q189 Q152 Q60:Q61 Q192 Q180 Q136:Q137 Q35 Q148 Q45:Q46 Q182 Q53 Q58 Q204:Q65536 Q174 Q176:Q178"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184:N189 N152 N60:N61 N192 N148 N136:N137 N43 N45:N46 N53 N58 N204:N65536 N174 N176:N178 N180 N182"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159 Q62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06 M40 M37:M38 M62:M64 M55 M52 M47:M48 M44 M104 M101:M102 M98 M66 M82:M84 M78 M76 M73:M74 M71 M132 M128:M130 M126 M122:M123 M120 M115 M111 M109 M95 M166 M150:M151 M146 M88:M93 M193:M194 M183 M181 M179 M175 M200:M203 M197:M198"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06 N40 N37:N38 N62:N64 N55 N52 N47:N48 N44 N104 N101:N102 N98 N66 N82:N84 N78 N76 N73:N74 N71 N132 N128:N130 N126 N122:N123 N120 N115 N111 N109 N95 N166 N150:N151 N146 N88:N93 N193:N194 N183 N181 N179 N175 N200:N203 N197:N198"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158 Q52 Q37 Q6"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41:M42 M39 M36 M65 M59 M56:M57 M54 M49:M51 M103 M99:M100 M96:M97 M85:M87 M79:M81 M77 M75 M72 M131 M127 M124:M125 M121 M116:M119 M112:M114 M110 M107:M108 M105 M169:M173 M167 M153:M157 M160:M165 M147 M138:M145 M133:M135 M94 M190:M191 M149 M195:M196 M67:M70"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41:N42 N39 N35:N36 N65 N59 N56:N57 N54 N49:N51 N103 N99:N100 N96:N97 N85:N87 N79:N81 N77 N75 N72 N131 N127 N124:N125 N121 N116:N119 N112:N114 N110 N107:N108 N105 N199 N169:N173 N167 N153:N157 N160:N165 N147 N138:N145 N133:N135 N94 N190:N191 N149 N195:N196 N67:N70"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42:Q143 Q164:Q165 Q161 Q156 Q112 Q108 Q125 Q77 Q75 Q50 Q33 Q14 Q7"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190 Q197 Q160 Q144:Q145 Q194 Q139 Q119 Q113:Q114 Q141 Q155 Q99 Q97 Q79 Q70 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98 Q193 Q129 Q111 Q132 Q83:Q84 Q74 Q44 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73 Q131 Q49 Q36 Q29 Q11"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91 Q170 Q117 Q110 Q121 Q133 Q96 Q68 Q54 Q28 Q12"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00 Q183 Q128 Q130 Q71 Q66 Q32 Q17 Q15"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35 M60:M61 M58 M53 M45:M46 M136:M137 M178 M188 M199 M148"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8.99 and &gt;= 0.01" sqref="Q202 Q179 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0.99 and &gt;= 0.01" sqref="Q163 Q140 Q107 Q134 Q127 Q124 Q57 Q41:Q42 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Q126 Q109"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Q116 Q56"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 type="decimal" allowBlank="1" showInputMessage="1" showErrorMessage="1" errorTitle="Invalid value entered" error="The Average Depth Embededdment you entered is invalid. The Average Depth Embededdment must be &lt;= 12.99 and &gt;= 0.01" sqref="Q203 Q175 Q120 Q150 Q95 Q38" xr:uid="{F06DA7F3-8E37-44EC-899C-394D9D6EBF1D}">
      <formula1>0.01</formula1>
      <formula2>12.99</formula2>
    </dataValidation>
    <dataValidation type="decimal" allowBlank="1" showInputMessage="1" showErrorMessage="1" errorTitle="Invalid value entered" error="The Average Depth Embededdment you entered is invalid. The Average Depth Embededdment must be &lt;= 0.39 and &gt;= 0.01" sqref="Q157 Q138 Q39" xr:uid="{C0ED72A5-7B59-460A-88D0-CB35B3D24525}">
      <formula1>0.01</formula1>
      <formula2>0.39</formula2>
    </dataValidation>
    <dataValidation type="decimal" allowBlank="1" showInputMessage="1" showErrorMessage="1" errorTitle="Invalid value entered" error="The Average Depth Embededdment you entered is invalid. The Average Depth Embededdment must be &lt;= 25.99 and &gt;= 0.01" sqref="Q115" xr:uid="{7F0FDA44-AD4D-443D-A42D-273F9A9458E2}">
      <formula1>0.01</formula1>
      <formula2>25.99</formula2>
    </dataValidation>
    <dataValidation type="decimal" allowBlank="1" showInputMessage="1" showErrorMessage="1" errorTitle="Invalid value entered" error="The Average Depth Embededdment you entered is invalid. The Average Depth Embededdment must be &lt;= 1.49 and &gt;= 0.01" sqref="Q103 Q69 Q51" xr:uid="{3F9514BD-5BA1-4B62-9EAD-ACD2806B2F7D}">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201 Q181 Q80 Q72" xr:uid="{D44A92DA-D36B-4B95-8180-73D7A8EF354B}">
      <formula1>0.01</formula1>
      <formula2>2.99</formula2>
    </dataValidation>
    <dataValidation type="decimal" allowBlank="1" showInputMessage="1" showErrorMessage="1" errorTitle="Invalid value entered" error="The Average Depth Embededdment you entered is invalid. The Average Depth Embededdment must be &lt;= 10.99 and &gt;= 0.01" sqref="Q146 Q102 Q123 Q106 Q82 Q78 Q73" xr:uid="{E81998EA-0746-4670-AA48-225A8CA02CDA}">
      <formula1>0.01</formula1>
      <formula2>10.99</formula2>
    </dataValidation>
    <dataValidation type="decimal" allowBlank="1" showInputMessage="1" showErrorMessage="1" errorTitle="Invalid value entered" error="The Average Depth Embededdment you entered is invalid. The Average Depth Embededdment must be &lt;= 21.99 and &gt;= 0.01" sqref="Q101 Q89" xr:uid="{79BEF238-32C2-4CDA-945C-E5DC4DA3367B}">
      <formula1>0.01</formula1>
      <formula2>21.99</formula2>
    </dataValidation>
    <dataValidation type="decimal" allowBlank="1" showInputMessage="1" showErrorMessage="1" errorTitle="Invalid value entered" error="The Average Depth Embededdment you entered is invalid. The Average Depth Embededdment must be &lt;= 34.99 and &gt;= 0.01" sqref="Q104" xr:uid="{1C5F5E2C-269B-4360-A3D8-1C09DC3428D5}">
      <formula1>0.01</formula1>
      <formula2>34.99</formula2>
    </dataValidation>
    <dataValidation type="decimal" allowBlank="1" showInputMessage="1" showErrorMessage="1" errorTitle="Invalid value entered" error="The Average Depth Embededdment you entered is invalid. The Average Depth Embededdment must be &lt;= 3.89 and &gt;= 0.01" sqref="Q105" xr:uid="{F7B22CCA-B4BE-44F4-8714-8014884013C3}">
      <formula1>0.01</formula1>
      <formula2>3.89</formula2>
    </dataValidation>
    <dataValidation type="decimal" allowBlank="1" showInputMessage="1" showErrorMessage="1" errorTitle="Invalid value entered" error="The Average Depth Embededdment you entered is invalid. The Average Depth Embededdment must be &lt;= 0.69 and &gt;= 0.01" sqref="Q118 Q135" xr:uid="{51BCF80C-E6AE-4CB2-8609-39EFC0C0ED01}">
      <formula1>0.01</formula1>
      <formula2>0.69</formula2>
    </dataValidation>
    <dataValidation type="decimal" allowBlank="1" showInputMessage="1" showErrorMessage="1" errorTitle="Invalid value entered" error="The Average Depth Embededdment you entered is invalid. The Average Depth Embededdment must be &lt;= 24.99 and &gt;= 0.01" sqref="Q122" xr:uid="{E6119948-F9A9-4DA4-A9B6-3DFCC1A8E727}">
      <formula1>0.01</formula1>
      <formula2>24.99</formula2>
    </dataValidation>
    <dataValidation type="textLength" allowBlank="1" showInputMessage="1" showErrorMessage="1" errorTitle="Invalid Comment Length" error="The Comment length cannot exceed 4000 characters." sqref="AP5:AP140 AP142: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2.79 and &gt;= 0.01" sqref="Q147" xr:uid="{6EC3C2D5-B786-4BEA-9D1C-1E0DC5154E69}">
      <formula1>0.01</formula1>
      <formula2>2.79</formula2>
    </dataValidation>
    <dataValidation type="decimal" allowBlank="1" showInputMessage="1" showErrorMessage="1" errorTitle="Invalid value entered" error="The Average Depth Embededdment you entered is invalid. The Average Depth Embededdment must be &lt;= 1.39 and &gt;= 0.01" sqref="Q162" xr:uid="{2DF4C230-4279-49C4-B2DB-04BE444DE2A0}">
      <formula1>0.01</formula1>
      <formula2>1.39</formula2>
    </dataValidation>
    <dataValidation type="decimal" allowBlank="1" showInputMessage="1" showErrorMessage="1" errorTitle="Invalid value entered" error="The Average Depth Embededdment you entered is invalid. The Average Depth Embededdment must be &lt;= 49.99 and &gt;= 0.01" sqref="Q166" xr:uid="{4BFF2FFF-45C8-4722-ADD9-FFA7F560208F}">
      <formula1>0.01</formula1>
      <formula2>49.99</formula2>
    </dataValidation>
    <dataValidation type="decimal" allowBlank="1" showInputMessage="1" showErrorMessage="1" errorTitle="Invalid value entered" error="The Average Depth Embededdment you entered is invalid. The Average Depth Embededdment must be &lt;= 0.94 and &gt;= 0.01" sqref="Q167 Q172" xr:uid="{DD938A77-D42F-4B47-AAE9-3EBD9C9A0F85}">
      <formula1>0.01</formula1>
      <formula2>0.94</formula2>
    </dataValidation>
    <dataValidation type="decimal" allowBlank="1" showInputMessage="1" showErrorMessage="1" errorTitle="Invalid value entered" error="The Average Depth Embededdment you entered is invalid. The Average Depth Embededdment must be &lt;= 1.34 and &gt;= 0.01" sqref="Q199 Q94" xr:uid="{A8246810-6874-4EF3-9EA8-F157FCACF438}">
      <formula1>0.01</formula1>
      <formula2>1.34</formula2>
    </dataValidation>
    <dataValidation type="decimal" allowBlank="1" showInputMessage="1" showErrorMessage="1" errorTitle="Invalid value entered" error="The Average Depth Embededdment you entered is invalid. The Average Depth Embededdment must be &lt;= 0.09 and &gt;= 0.01" sqref="Q149 Q195:Q196" xr:uid="{5B9546B3-5C9D-460F-AF50-C04235A7A8D7}">
      <formula1>0.01</formula1>
      <formula2>0.09</formula2>
    </dataValidation>
    <dataValidation type="decimal" allowBlank="1" showInputMessage="1" showErrorMessage="1" errorTitle="Invalid value entered" error="The Average Depth Embededdment you entered is invalid. The Average Depth Embededdment must be &lt;= 13.49 and &gt;= 0.01" sqref="Q5" xr:uid="{B00CA397-EB73-4D72-8212-4B59D743E8C2}">
      <formula1>0.01</formula1>
      <formula2>13.49</formula2>
    </dataValidation>
    <dataValidation type="decimal" allowBlank="1" showInputMessage="1" showErrorMessage="1" errorTitle="Invalid value entered" error="The Average Depth Embededdment you entered is invalid. The Average Depth Embededdment must be &lt;= 0.29 and &gt;= 0.01" sqref="Q13" xr:uid="{49E5C7A2-0E1D-45AD-81A8-B0155FC8986A}">
      <formula1>0.01</formula1>
      <formula2>0.29</formula2>
    </dataValidation>
    <dataValidation type="decimal" allowBlank="1" showInputMessage="1" showErrorMessage="1" errorTitle="Invalid value entered" error="The Average Depth Embededdment you entered is invalid. The Average Depth Embededdment must be &lt;= 1.94 and &gt;= 0.01" sqref="Q21" xr:uid="{49FF01B3-4F04-4085-953F-8C0569A82A28}">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DD119E35-A5AC-415C-B26F-FD1317A44CC0}">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F67A1679-0FFE-4A21-9582-9A4B47EA78C3}">
      <formula1>0.01</formula1>
      <formula2>13.99</formula2>
    </dataValidation>
    <dataValidation type="decimal" allowBlank="1" showInputMessage="1" showErrorMessage="1" errorTitle="Invalid value entered" error="The Average Depth Embededdment you entered is invalid. The Average Depth Embededdment must be &lt;= 1.09 and &gt;= 0.01" sqref="Q31" xr:uid="{BFDC0E2D-CCC1-4084-A047-50E7D8A0C9B8}">
      <formula1>0.01</formula1>
      <formula2>1.09</formula2>
    </dataValidation>
    <dataValidation type="decimal" allowBlank="1" showInputMessage="1" showErrorMessage="1" errorTitle="Invalid value entered" error="The Average Depth Embededdment you entered is invalid. The Average Depth Embededdment must be &lt;= 4.99 and &gt;= 0.01" sqref="Q40 Q88" xr:uid="{0FC23D5F-C10C-4D70-940C-7034A80CBA30}">
      <formula1>0.01</formula1>
      <formula2>4.99</formula2>
    </dataValidation>
    <dataValidation type="decimal" allowBlank="1" showInputMessage="1" showErrorMessage="1" errorTitle="Invalid value entered" error="The Average Depth Embededdment you entered is invalid. The Average Depth Embededdment must be &lt;= 1.99 and &gt;= 0.01" sqref="Q43 Q85:Q86" xr:uid="{FBB63B38-16F2-451D-BF52-45DFA599BBC5}">
      <formula1>0.01</formula1>
      <formula2>1.99</formula2>
    </dataValidation>
    <dataValidation type="decimal" allowBlank="1" showInputMessage="1" showErrorMessage="1" errorTitle="Invalid value entered" error="The Average Depth Embededdment you entered is invalid. The Average Depth Embededdment must be &lt;= 17.99 and &gt;= 0.01" sqref="Q47:Q48 Q93" xr:uid="{B9C5EE58-1181-4127-A7B8-666BFB2879E6}">
      <formula1>0.01</formula1>
      <formula2>17.99</formula2>
    </dataValidation>
    <dataValidation type="decimal" allowBlank="1" showInputMessage="1" showErrorMessage="1" errorTitle="Invalid value entered" error="The Average Depth Embededdment you entered is invalid. The Average Depth Embededdment must be &lt;= 18.99 and &gt;= 0.01" sqref="Q55 Q90 Q64" xr:uid="{AAD41755-0539-481A-A565-4D96F7E71B3C}">
      <formula1>0.01</formula1>
      <formula2>18.99</formula2>
    </dataValidation>
    <dataValidation type="decimal" allowBlank="1" showInputMessage="1" showErrorMessage="1" errorTitle="Invalid value entered" error="The Average Depth Embededdment you entered is invalid. The Average Depth Embededdment must be &lt;= 1.24 and &gt;= 0.01" sqref="Q59" xr:uid="{AC37DD7B-55D9-4895-BE15-05D6818B490C}">
      <formula1>0.01</formula1>
      <formula2>1.24</formula2>
    </dataValidation>
    <dataValidation type="decimal" allowBlank="1" showInputMessage="1" showErrorMessage="1" errorTitle="Invalid value entered" error="The Average Depth Embededdment you entered is invalid. The Average Depth Embededdment must be &lt;= 14.99 and &gt;= 0.01" sqref="Q63" xr:uid="{0E44758D-F256-4AC0-9959-BD97600C3845}">
      <formula1>0.01</formula1>
      <formula2>14.99</formula2>
    </dataValidation>
    <dataValidation type="decimal" allowBlank="1" showInputMessage="1" showErrorMessage="1" errorTitle="Invalid value entered" error="The Average Depth Embededdment you entered is invalid. The Average Depth Embededdment must be &lt;= 3.39 and &gt;= 0.01" sqref="Q65" xr:uid="{2C1D4F1D-FB86-427F-9305-CD90FCD80901}">
      <formula1>0.01</formula1>
      <formula2>3.39</formula2>
    </dataValidation>
    <dataValidation type="decimal" allowBlank="1" showInputMessage="1" showErrorMessage="1" errorTitle="Invalid value entered" error="The Average Depth Embededdment you entered is invalid. The Average Depth Embededdment must be &lt;= 3.59 and &gt;= 0.01" sqref="Q67" xr:uid="{393C08EA-9972-44DD-99C1-32C3D7A872B7}">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6 Q87" xr:uid="{AFEEA424-8C33-4BFF-BFE9-4BBDC39A478E}">
      <formula1>0.01</formula1>
      <formula2>1.79</formula2>
    </dataValidation>
    <dataValidation type="decimal" allowBlank="1" showInputMessage="1" showErrorMessage="1" errorTitle="Invalid value entered" error="The Average Depth Embededdment you entered is invalid. The Average Depth Embededdment must be &lt;= 3.49 and &gt;= 0.01" sqref="Q81" xr:uid="{C735458C-C04E-4966-B5D0-BEAF2D1DBD7D}">
      <formula1>0.01</formula1>
      <formula2>3.49</formula2>
    </dataValidation>
    <dataValidation type="decimal" allowBlank="1" showInputMessage="1" showErrorMessage="1" errorTitle="Invalid value entered" error="The Average Depth Embededdment you entered is invalid. The Average Depth Embededdment must be &lt;= 15.99 and &gt;= 0.01" sqref="Q91" xr:uid="{5B5976A8-D144-4828-A313-C52B499160E0}">
      <formula1>0.01</formula1>
      <formula2>15.99</formula2>
    </dataValidation>
    <dataValidation type="decimal" allowBlank="1" showInputMessage="1" showErrorMessage="1" errorTitle="Invalid value entered" error="The Average Depth Embededdment you entered is invalid. The Average Depth Embededdment must be &lt;= 19.99 and &gt;= 0.01" sqref="Q92" xr:uid="{6B229214-6369-4B00-A0AA-BD1553E236F2}">
      <formula1>0.01</formula1>
      <formula2>19.99</formula2>
    </dataValidation>
    <dataValidation type="decimal" allowBlank="1" showInputMessage="1" showErrorMessage="1" errorTitle="Invalid value entered" error="The Average Depth Embededdment you entered is invalid. The Average Depth Embededdment must be &lt;= 27.99 and &gt;= 0.01" sqref="Q98" xr:uid="{1BCBB53B-D998-40AE-A6DA-97A29B974F8B}">
      <formula1>0.01</formula1>
      <formula2>27.99</formula2>
    </dataValidation>
    <dataValidation type="decimal" allowBlank="1" showInputMessage="1" showErrorMessage="1" errorTitle="Invalid value entered" error="The Average Depth Embededdment you entered is invalid. The Average Depth Embededdment must be &lt;= 2.19 and &gt;= 0.01" sqref="Q100" xr:uid="{BE1996E1-987B-460E-ABE9-11237C3EAB3D}">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19"/>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row r="2" spans="1:3" x14ac:dyDescent="0.25">
      <c r="A2" s="18" t="s">
        <v>416</v>
      </c>
      <c r="B2" s="18">
        <v>4</v>
      </c>
      <c r="C2" s="19" t="s">
        <v>417</v>
      </c>
    </row>
    <row r="3" spans="1:3" ht="90" x14ac:dyDescent="0.25">
      <c r="A3" s="18" t="s">
        <v>418</v>
      </c>
      <c r="B3" s="18">
        <v>5</v>
      </c>
      <c r="C3" s="19" t="s">
        <v>419</v>
      </c>
    </row>
    <row r="4" spans="1:3" ht="90" x14ac:dyDescent="0.25">
      <c r="A4" s="18" t="s">
        <v>418</v>
      </c>
      <c r="B4" s="18">
        <v>6</v>
      </c>
      <c r="C4" s="19" t="s">
        <v>420</v>
      </c>
    </row>
    <row r="5" spans="1:3" ht="90" x14ac:dyDescent="0.25">
      <c r="A5" s="18" t="s">
        <v>418</v>
      </c>
      <c r="B5" s="18">
        <v>7</v>
      </c>
      <c r="C5" s="19" t="s">
        <v>421</v>
      </c>
    </row>
    <row r="6" spans="1:3" ht="90" x14ac:dyDescent="0.25">
      <c r="A6" s="18" t="s">
        <v>418</v>
      </c>
      <c r="B6" s="18">
        <v>8</v>
      </c>
      <c r="C6" s="19" t="s">
        <v>422</v>
      </c>
    </row>
    <row r="7" spans="1:3" ht="90" x14ac:dyDescent="0.25">
      <c r="A7" s="18" t="s">
        <v>418</v>
      </c>
      <c r="B7" s="18">
        <v>9</v>
      </c>
      <c r="C7" s="19" t="s">
        <v>423</v>
      </c>
    </row>
    <row r="8" spans="1:3" ht="90" x14ac:dyDescent="0.25">
      <c r="A8" s="18" t="s">
        <v>418</v>
      </c>
      <c r="B8" s="18">
        <v>10</v>
      </c>
      <c r="C8" s="19" t="s">
        <v>424</v>
      </c>
    </row>
    <row r="9" spans="1:3" ht="90" x14ac:dyDescent="0.25">
      <c r="A9" s="18" t="s">
        <v>418</v>
      </c>
      <c r="B9" s="18">
        <v>11</v>
      </c>
      <c r="C9" s="19" t="s">
        <v>425</v>
      </c>
    </row>
    <row r="10" spans="1:3" ht="90" x14ac:dyDescent="0.25">
      <c r="A10" s="18" t="s">
        <v>418</v>
      </c>
      <c r="B10" s="18">
        <v>12</v>
      </c>
      <c r="C10" s="19" t="s">
        <v>426</v>
      </c>
    </row>
    <row r="11" spans="1:3" ht="90" x14ac:dyDescent="0.25">
      <c r="A11" s="18" t="s">
        <v>418</v>
      </c>
      <c r="B11" s="18">
        <v>13</v>
      </c>
      <c r="C11" s="19" t="s">
        <v>427</v>
      </c>
    </row>
    <row r="12" spans="1:3" ht="90" x14ac:dyDescent="0.25">
      <c r="A12" s="18" t="s">
        <v>418</v>
      </c>
      <c r="B12" s="18">
        <v>14</v>
      </c>
      <c r="C12" s="19" t="s">
        <v>428</v>
      </c>
    </row>
    <row r="13" spans="1:3" ht="90" x14ac:dyDescent="0.25">
      <c r="A13" s="18" t="s">
        <v>418</v>
      </c>
      <c r="B13" s="18">
        <v>15</v>
      </c>
      <c r="C13" s="19" t="s">
        <v>429</v>
      </c>
    </row>
    <row r="14" spans="1:3" ht="90" x14ac:dyDescent="0.25">
      <c r="A14" s="18" t="s">
        <v>418</v>
      </c>
      <c r="B14" s="18">
        <v>16</v>
      </c>
      <c r="C14" s="19" t="s">
        <v>430</v>
      </c>
    </row>
    <row r="15" spans="1:3" ht="90" x14ac:dyDescent="0.25">
      <c r="A15" s="18" t="s">
        <v>418</v>
      </c>
      <c r="B15" s="18">
        <v>17</v>
      </c>
      <c r="C15" s="19" t="s">
        <v>431</v>
      </c>
    </row>
    <row r="16" spans="1:3" ht="90" x14ac:dyDescent="0.25">
      <c r="A16" s="18" t="s">
        <v>418</v>
      </c>
      <c r="B16" s="18">
        <v>18</v>
      </c>
      <c r="C16" s="19" t="s">
        <v>432</v>
      </c>
    </row>
    <row r="17" spans="1:3" ht="90" x14ac:dyDescent="0.25">
      <c r="A17" s="18" t="s">
        <v>418</v>
      </c>
      <c r="B17" s="18">
        <v>19</v>
      </c>
      <c r="C17" s="19" t="s">
        <v>433</v>
      </c>
    </row>
    <row r="18" spans="1:3" ht="90" x14ac:dyDescent="0.25">
      <c r="A18" s="18" t="s">
        <v>418</v>
      </c>
      <c r="B18" s="18">
        <v>20</v>
      </c>
      <c r="C18" s="19" t="s">
        <v>434</v>
      </c>
    </row>
    <row r="19" spans="1:3" ht="90" x14ac:dyDescent="0.25">
      <c r="A19" s="18" t="s">
        <v>418</v>
      </c>
      <c r="B19" s="18">
        <v>21</v>
      </c>
      <c r="C19" s="19" t="s">
        <v>435</v>
      </c>
    </row>
    <row r="20" spans="1:3" ht="90" x14ac:dyDescent="0.25">
      <c r="A20" s="18" t="s">
        <v>418</v>
      </c>
      <c r="B20" s="18">
        <v>22</v>
      </c>
      <c r="C20" s="19" t="s">
        <v>436</v>
      </c>
    </row>
    <row r="21" spans="1:3" ht="90" x14ac:dyDescent="0.25">
      <c r="A21" s="18" t="s">
        <v>418</v>
      </c>
      <c r="B21" s="18">
        <v>23</v>
      </c>
      <c r="C21" s="19" t="s">
        <v>437</v>
      </c>
    </row>
    <row r="22" spans="1:3" ht="90" x14ac:dyDescent="0.25">
      <c r="A22" s="18" t="s">
        <v>418</v>
      </c>
      <c r="B22" s="18">
        <v>24</v>
      </c>
      <c r="C22" s="19" t="s">
        <v>438</v>
      </c>
    </row>
    <row r="23" spans="1:3" ht="90" x14ac:dyDescent="0.25">
      <c r="A23" s="18" t="s">
        <v>418</v>
      </c>
      <c r="B23" s="18">
        <v>25</v>
      </c>
      <c r="C23" s="19" t="s">
        <v>439</v>
      </c>
    </row>
    <row r="24" spans="1:3" ht="90" x14ac:dyDescent="0.25">
      <c r="A24" s="18" t="s">
        <v>418</v>
      </c>
      <c r="B24" s="18">
        <v>26</v>
      </c>
      <c r="C24" s="19" t="s">
        <v>440</v>
      </c>
    </row>
    <row r="25" spans="1:3" ht="90" x14ac:dyDescent="0.25">
      <c r="A25" s="18" t="s">
        <v>418</v>
      </c>
      <c r="B25" s="18">
        <v>27</v>
      </c>
      <c r="C25" s="19" t="s">
        <v>441</v>
      </c>
    </row>
    <row r="26" spans="1:3" ht="90" x14ac:dyDescent="0.25">
      <c r="A26" s="18" t="s">
        <v>418</v>
      </c>
      <c r="B26" s="18">
        <v>28</v>
      </c>
      <c r="C26" s="19" t="s">
        <v>442</v>
      </c>
    </row>
    <row r="27" spans="1:3" ht="90" x14ac:dyDescent="0.25">
      <c r="A27" s="18" t="s">
        <v>418</v>
      </c>
      <c r="B27" s="18">
        <v>29</v>
      </c>
      <c r="C27" s="19" t="s">
        <v>443</v>
      </c>
    </row>
    <row r="28" spans="1:3" ht="90" x14ac:dyDescent="0.25">
      <c r="A28" s="18" t="s">
        <v>418</v>
      </c>
      <c r="B28" s="18">
        <v>30</v>
      </c>
      <c r="C28" s="19" t="s">
        <v>444</v>
      </c>
    </row>
    <row r="29" spans="1:3" ht="90" x14ac:dyDescent="0.25">
      <c r="A29" s="18" t="s">
        <v>418</v>
      </c>
      <c r="B29" s="18">
        <v>31</v>
      </c>
      <c r="C29" s="19" t="s">
        <v>445</v>
      </c>
    </row>
    <row r="30" spans="1:3" ht="90" x14ac:dyDescent="0.25">
      <c r="A30" s="18" t="s">
        <v>418</v>
      </c>
      <c r="B30" s="18">
        <v>32</v>
      </c>
      <c r="C30" s="19" t="s">
        <v>446</v>
      </c>
    </row>
    <row r="31" spans="1:3" ht="90" x14ac:dyDescent="0.25">
      <c r="A31" s="18" t="s">
        <v>418</v>
      </c>
      <c r="B31" s="18">
        <v>33</v>
      </c>
      <c r="C31" s="19" t="s">
        <v>447</v>
      </c>
    </row>
    <row r="32" spans="1:3" ht="90" x14ac:dyDescent="0.25">
      <c r="A32" s="18" t="s">
        <v>418</v>
      </c>
      <c r="B32" s="18">
        <v>34</v>
      </c>
      <c r="C32" s="19" t="s">
        <v>448</v>
      </c>
    </row>
    <row r="33" spans="1:3" ht="90" x14ac:dyDescent="0.25">
      <c r="A33" s="18" t="s">
        <v>418</v>
      </c>
      <c r="B33" s="18">
        <v>35</v>
      </c>
      <c r="C33" s="19" t="s">
        <v>449</v>
      </c>
    </row>
    <row r="34" spans="1:3" ht="45" x14ac:dyDescent="0.25">
      <c r="A34" s="18" t="s">
        <v>35</v>
      </c>
      <c r="B34" s="18">
        <v>36</v>
      </c>
      <c r="C34" s="19" t="s">
        <v>450</v>
      </c>
    </row>
    <row r="35" spans="1:3" ht="90" x14ac:dyDescent="0.25">
      <c r="A35" s="18" t="s">
        <v>418</v>
      </c>
      <c r="B35" s="18">
        <v>36</v>
      </c>
      <c r="C35" s="19" t="s">
        <v>451</v>
      </c>
    </row>
    <row r="36" spans="1:3" ht="90" x14ac:dyDescent="0.25">
      <c r="A36" s="18" t="s">
        <v>418</v>
      </c>
      <c r="B36" s="18">
        <v>37</v>
      </c>
      <c r="C36" s="19" t="s">
        <v>452</v>
      </c>
    </row>
    <row r="37" spans="1:3" ht="90" x14ac:dyDescent="0.25">
      <c r="A37" s="18" t="s">
        <v>418</v>
      </c>
      <c r="B37" s="18">
        <v>38</v>
      </c>
      <c r="C37" s="19" t="s">
        <v>453</v>
      </c>
    </row>
    <row r="38" spans="1:3" ht="45" x14ac:dyDescent="0.25">
      <c r="A38" s="18" t="s">
        <v>35</v>
      </c>
      <c r="B38" s="18">
        <v>39</v>
      </c>
      <c r="C38" s="19" t="s">
        <v>454</v>
      </c>
    </row>
    <row r="39" spans="1:3" ht="90" x14ac:dyDescent="0.25">
      <c r="A39" s="18" t="s">
        <v>418</v>
      </c>
      <c r="B39" s="18">
        <v>39</v>
      </c>
      <c r="C39" s="19" t="s">
        <v>455</v>
      </c>
    </row>
    <row r="40" spans="1:3" ht="90" x14ac:dyDescent="0.25">
      <c r="A40" s="18" t="s">
        <v>418</v>
      </c>
      <c r="B40" s="18">
        <v>40</v>
      </c>
      <c r="C40" s="19" t="s">
        <v>456</v>
      </c>
    </row>
    <row r="41" spans="1:3" ht="45" x14ac:dyDescent="0.25">
      <c r="A41" s="18" t="s">
        <v>35</v>
      </c>
      <c r="B41" s="18">
        <v>41</v>
      </c>
      <c r="C41" s="19" t="s">
        <v>450</v>
      </c>
    </row>
    <row r="42" spans="1:3" ht="90" x14ac:dyDescent="0.25">
      <c r="A42" s="18" t="s">
        <v>418</v>
      </c>
      <c r="B42" s="18">
        <v>41</v>
      </c>
      <c r="C42" s="19" t="s">
        <v>457</v>
      </c>
    </row>
    <row r="43" spans="1:3" ht="45" x14ac:dyDescent="0.25">
      <c r="A43" s="18" t="s">
        <v>35</v>
      </c>
      <c r="B43" s="18">
        <v>42</v>
      </c>
      <c r="C43" s="19" t="s">
        <v>458</v>
      </c>
    </row>
    <row r="44" spans="1:3" ht="45" x14ac:dyDescent="0.25">
      <c r="A44" s="18" t="s">
        <v>35</v>
      </c>
      <c r="B44" s="18">
        <v>42</v>
      </c>
      <c r="C44" s="19" t="s">
        <v>459</v>
      </c>
    </row>
    <row r="45" spans="1:3" ht="90" x14ac:dyDescent="0.25">
      <c r="A45" s="18" t="s">
        <v>418</v>
      </c>
      <c r="B45" s="18">
        <v>42</v>
      </c>
      <c r="C45" s="19" t="s">
        <v>460</v>
      </c>
    </row>
    <row r="46" spans="1:3" ht="90" x14ac:dyDescent="0.25">
      <c r="A46" s="18" t="s">
        <v>418</v>
      </c>
      <c r="B46" s="18">
        <v>43</v>
      </c>
      <c r="C46" s="19" t="s">
        <v>461</v>
      </c>
    </row>
    <row r="47" spans="1:3" ht="90" x14ac:dyDescent="0.25">
      <c r="A47" s="18" t="s">
        <v>418</v>
      </c>
      <c r="B47" s="18">
        <v>44</v>
      </c>
      <c r="C47" s="19" t="s">
        <v>462</v>
      </c>
    </row>
    <row r="48" spans="1:3" ht="90" x14ac:dyDescent="0.25">
      <c r="A48" s="18" t="s">
        <v>418</v>
      </c>
      <c r="B48" s="18">
        <v>45</v>
      </c>
      <c r="C48" s="19" t="s">
        <v>463</v>
      </c>
    </row>
    <row r="49" spans="1:3" ht="90" x14ac:dyDescent="0.25">
      <c r="A49" s="18" t="s">
        <v>418</v>
      </c>
      <c r="B49" s="18">
        <v>46</v>
      </c>
      <c r="C49" s="19" t="s">
        <v>464</v>
      </c>
    </row>
    <row r="50" spans="1:3" ht="90" x14ac:dyDescent="0.25">
      <c r="A50" s="18" t="s">
        <v>418</v>
      </c>
      <c r="B50" s="18">
        <v>47</v>
      </c>
      <c r="C50" s="19" t="s">
        <v>465</v>
      </c>
    </row>
    <row r="51" spans="1:3" ht="60" x14ac:dyDescent="0.25">
      <c r="A51" s="18" t="s">
        <v>35</v>
      </c>
      <c r="B51" s="18">
        <v>48</v>
      </c>
      <c r="C51" s="19" t="s">
        <v>466</v>
      </c>
    </row>
    <row r="52" spans="1:3" ht="30" x14ac:dyDescent="0.25">
      <c r="A52" s="18" t="s">
        <v>35</v>
      </c>
      <c r="B52" s="18">
        <v>48</v>
      </c>
      <c r="C52" s="19" t="s">
        <v>467</v>
      </c>
    </row>
    <row r="53" spans="1:3" ht="90" x14ac:dyDescent="0.25">
      <c r="A53" s="18" t="s">
        <v>418</v>
      </c>
      <c r="B53" s="18">
        <v>48</v>
      </c>
      <c r="C53" s="19" t="s">
        <v>468</v>
      </c>
    </row>
    <row r="54" spans="1:3" ht="90" x14ac:dyDescent="0.25">
      <c r="A54" s="18" t="s">
        <v>418</v>
      </c>
      <c r="B54" s="18">
        <v>49</v>
      </c>
      <c r="C54" s="19" t="s">
        <v>469</v>
      </c>
    </row>
    <row r="55" spans="1:3" ht="90" x14ac:dyDescent="0.25">
      <c r="A55" s="18" t="s">
        <v>418</v>
      </c>
      <c r="B55" s="18">
        <v>50</v>
      </c>
      <c r="C55" s="19" t="s">
        <v>470</v>
      </c>
    </row>
    <row r="56" spans="1:3" ht="60" x14ac:dyDescent="0.25">
      <c r="A56" s="18" t="s">
        <v>35</v>
      </c>
      <c r="B56" s="18">
        <v>51</v>
      </c>
      <c r="C56" s="19" t="s">
        <v>471</v>
      </c>
    </row>
    <row r="57" spans="1:3" ht="90" x14ac:dyDescent="0.25">
      <c r="A57" s="18" t="s">
        <v>418</v>
      </c>
      <c r="B57" s="18">
        <v>51</v>
      </c>
      <c r="C57" s="19" t="s">
        <v>472</v>
      </c>
    </row>
    <row r="58" spans="1:3" ht="90" x14ac:dyDescent="0.25">
      <c r="A58" s="18" t="s">
        <v>418</v>
      </c>
      <c r="B58" s="18">
        <v>52</v>
      </c>
      <c r="C58" s="19" t="s">
        <v>473</v>
      </c>
    </row>
    <row r="59" spans="1:3" ht="90" x14ac:dyDescent="0.25">
      <c r="A59" s="18" t="s">
        <v>418</v>
      </c>
      <c r="B59" s="18">
        <v>53</v>
      </c>
      <c r="C59" s="19" t="s">
        <v>474</v>
      </c>
    </row>
    <row r="60" spans="1:3" ht="90" x14ac:dyDescent="0.25">
      <c r="A60" s="18" t="s">
        <v>418</v>
      </c>
      <c r="B60" s="18">
        <v>54</v>
      </c>
      <c r="C60" s="19" t="s">
        <v>475</v>
      </c>
    </row>
    <row r="61" spans="1:3" ht="90" x14ac:dyDescent="0.25">
      <c r="A61" s="18" t="s">
        <v>418</v>
      </c>
      <c r="B61" s="18">
        <v>55</v>
      </c>
      <c r="C61" s="19" t="s">
        <v>476</v>
      </c>
    </row>
    <row r="62" spans="1:3" ht="90" x14ac:dyDescent="0.25">
      <c r="A62" s="18" t="s">
        <v>418</v>
      </c>
      <c r="B62" s="18">
        <v>56</v>
      </c>
      <c r="C62" s="19" t="s">
        <v>477</v>
      </c>
    </row>
    <row r="63" spans="1:3" ht="90" x14ac:dyDescent="0.25">
      <c r="A63" s="18" t="s">
        <v>418</v>
      </c>
      <c r="B63" s="18">
        <v>57</v>
      </c>
      <c r="C63" s="19" t="s">
        <v>478</v>
      </c>
    </row>
    <row r="64" spans="1:3" ht="90" x14ac:dyDescent="0.25">
      <c r="A64" s="18" t="s">
        <v>418</v>
      </c>
      <c r="B64" s="18">
        <v>58</v>
      </c>
      <c r="C64" s="19" t="s">
        <v>479</v>
      </c>
    </row>
    <row r="65" spans="1:3" ht="45" x14ac:dyDescent="0.25">
      <c r="A65" s="18" t="s">
        <v>35</v>
      </c>
      <c r="B65" s="18">
        <v>59</v>
      </c>
      <c r="C65" s="19" t="s">
        <v>480</v>
      </c>
    </row>
    <row r="66" spans="1:3" ht="45" x14ac:dyDescent="0.25">
      <c r="A66" s="18" t="s">
        <v>35</v>
      </c>
      <c r="B66" s="18">
        <v>59</v>
      </c>
      <c r="C66" s="19" t="s">
        <v>481</v>
      </c>
    </row>
    <row r="67" spans="1:3" ht="30" x14ac:dyDescent="0.25">
      <c r="A67" s="18" t="s">
        <v>35</v>
      </c>
      <c r="B67" s="18">
        <v>59</v>
      </c>
      <c r="C67" s="19" t="s">
        <v>482</v>
      </c>
    </row>
    <row r="68" spans="1:3" ht="90" x14ac:dyDescent="0.25">
      <c r="A68" s="18" t="s">
        <v>418</v>
      </c>
      <c r="B68" s="18">
        <v>59</v>
      </c>
      <c r="C68" s="19" t="s">
        <v>483</v>
      </c>
    </row>
    <row r="69" spans="1:3" ht="90" x14ac:dyDescent="0.25">
      <c r="A69" s="18" t="s">
        <v>418</v>
      </c>
      <c r="B69" s="18">
        <v>60</v>
      </c>
      <c r="C69" s="19" t="s">
        <v>484</v>
      </c>
    </row>
    <row r="70" spans="1:3" ht="90" x14ac:dyDescent="0.25">
      <c r="A70" s="18" t="s">
        <v>418</v>
      </c>
      <c r="B70" s="18">
        <v>61</v>
      </c>
      <c r="C70" s="19" t="s">
        <v>485</v>
      </c>
    </row>
    <row r="71" spans="1:3" ht="90" x14ac:dyDescent="0.25">
      <c r="A71" s="18" t="s">
        <v>418</v>
      </c>
      <c r="B71" s="18">
        <v>62</v>
      </c>
      <c r="C71" s="19" t="s">
        <v>486</v>
      </c>
    </row>
    <row r="72" spans="1:3" ht="90" x14ac:dyDescent="0.25">
      <c r="A72" s="18" t="s">
        <v>418</v>
      </c>
      <c r="B72" s="18">
        <v>63</v>
      </c>
      <c r="C72" s="19" t="s">
        <v>487</v>
      </c>
    </row>
    <row r="73" spans="1:3" ht="90" x14ac:dyDescent="0.25">
      <c r="A73" s="18" t="s">
        <v>418</v>
      </c>
      <c r="B73" s="18">
        <v>64</v>
      </c>
      <c r="C73" s="19" t="s">
        <v>488</v>
      </c>
    </row>
    <row r="74" spans="1:3" ht="45" x14ac:dyDescent="0.25">
      <c r="A74" s="18" t="s">
        <v>35</v>
      </c>
      <c r="B74" s="18">
        <v>65</v>
      </c>
      <c r="C74" s="19" t="s">
        <v>489</v>
      </c>
    </row>
    <row r="75" spans="1:3" ht="45" x14ac:dyDescent="0.25">
      <c r="A75" s="18" t="s">
        <v>35</v>
      </c>
      <c r="B75" s="18">
        <v>65</v>
      </c>
      <c r="C75" s="19" t="s">
        <v>490</v>
      </c>
    </row>
    <row r="76" spans="1:3" ht="90" x14ac:dyDescent="0.25">
      <c r="A76" s="18" t="s">
        <v>418</v>
      </c>
      <c r="B76" s="18">
        <v>65</v>
      </c>
      <c r="C76" s="19" t="s">
        <v>491</v>
      </c>
    </row>
    <row r="77" spans="1:3" ht="90" x14ac:dyDescent="0.25">
      <c r="A77" s="18" t="s">
        <v>418</v>
      </c>
      <c r="B77" s="18">
        <v>66</v>
      </c>
      <c r="C77" s="19" t="s">
        <v>492</v>
      </c>
    </row>
    <row r="78" spans="1:3" ht="90" x14ac:dyDescent="0.25">
      <c r="A78" s="18" t="s">
        <v>418</v>
      </c>
      <c r="B78" s="18">
        <v>67</v>
      </c>
      <c r="C78" s="19" t="s">
        <v>493</v>
      </c>
    </row>
    <row r="79" spans="1:3" x14ac:dyDescent="0.25">
      <c r="A79" s="18" t="s">
        <v>35</v>
      </c>
      <c r="B79" s="18">
        <v>68</v>
      </c>
      <c r="C79" s="19" t="s">
        <v>494</v>
      </c>
    </row>
    <row r="80" spans="1:3" ht="45" x14ac:dyDescent="0.25">
      <c r="A80" s="18" t="s">
        <v>35</v>
      </c>
      <c r="B80" s="18">
        <v>68</v>
      </c>
      <c r="C80" s="19" t="s">
        <v>495</v>
      </c>
    </row>
    <row r="81" spans="1:3" ht="90" x14ac:dyDescent="0.25">
      <c r="A81" s="18" t="s">
        <v>418</v>
      </c>
      <c r="B81" s="18">
        <v>68</v>
      </c>
      <c r="C81" s="19" t="s">
        <v>496</v>
      </c>
    </row>
    <row r="82" spans="1:3" ht="90" x14ac:dyDescent="0.25">
      <c r="A82" s="18" t="s">
        <v>418</v>
      </c>
      <c r="B82" s="18">
        <v>69</v>
      </c>
      <c r="C82" s="19" t="s">
        <v>497</v>
      </c>
    </row>
    <row r="83" spans="1:3" ht="90" x14ac:dyDescent="0.25">
      <c r="A83" s="18" t="s">
        <v>418</v>
      </c>
      <c r="B83" s="18">
        <v>70</v>
      </c>
      <c r="C83" s="19" t="s">
        <v>498</v>
      </c>
    </row>
    <row r="84" spans="1:3" ht="90" x14ac:dyDescent="0.25">
      <c r="A84" s="18" t="s">
        <v>418</v>
      </c>
      <c r="B84" s="18">
        <v>71</v>
      </c>
      <c r="C84" s="19" t="s">
        <v>499</v>
      </c>
    </row>
    <row r="85" spans="1:3" ht="90" x14ac:dyDescent="0.25">
      <c r="A85" s="18" t="s">
        <v>418</v>
      </c>
      <c r="B85" s="18">
        <v>72</v>
      </c>
      <c r="C85" s="19" t="s">
        <v>500</v>
      </c>
    </row>
    <row r="86" spans="1:3" ht="90" x14ac:dyDescent="0.25">
      <c r="A86" s="18" t="s">
        <v>418</v>
      </c>
      <c r="B86" s="18">
        <v>73</v>
      </c>
      <c r="C86" s="19" t="s">
        <v>501</v>
      </c>
    </row>
    <row r="87" spans="1:3" ht="90" x14ac:dyDescent="0.25">
      <c r="A87" s="18" t="s">
        <v>418</v>
      </c>
      <c r="B87" s="18">
        <v>74</v>
      </c>
      <c r="C87" s="19" t="s">
        <v>502</v>
      </c>
    </row>
    <row r="88" spans="1:3" ht="90" x14ac:dyDescent="0.25">
      <c r="A88" s="18" t="s">
        <v>418</v>
      </c>
      <c r="B88" s="18">
        <v>75</v>
      </c>
      <c r="C88" s="19" t="s">
        <v>503</v>
      </c>
    </row>
    <row r="89" spans="1:3" ht="90" x14ac:dyDescent="0.25">
      <c r="A89" s="18" t="s">
        <v>418</v>
      </c>
      <c r="B89" s="18">
        <v>76</v>
      </c>
      <c r="C89" s="19" t="s">
        <v>504</v>
      </c>
    </row>
    <row r="90" spans="1:3" ht="90" x14ac:dyDescent="0.25">
      <c r="A90" s="18" t="s">
        <v>418</v>
      </c>
      <c r="B90" s="18">
        <v>77</v>
      </c>
      <c r="C90" s="19" t="s">
        <v>505</v>
      </c>
    </row>
    <row r="91" spans="1:3" ht="90" x14ac:dyDescent="0.25">
      <c r="A91" s="18" t="s">
        <v>418</v>
      </c>
      <c r="B91" s="18">
        <v>78</v>
      </c>
      <c r="C91" s="19" t="s">
        <v>506</v>
      </c>
    </row>
    <row r="92" spans="1:3" ht="90" x14ac:dyDescent="0.25">
      <c r="A92" s="18" t="s">
        <v>418</v>
      </c>
      <c r="B92" s="18">
        <v>79</v>
      </c>
      <c r="C92" s="19" t="s">
        <v>507</v>
      </c>
    </row>
    <row r="93" spans="1:3" ht="45" x14ac:dyDescent="0.25">
      <c r="A93" s="18" t="s">
        <v>35</v>
      </c>
      <c r="B93" s="18">
        <v>80</v>
      </c>
      <c r="C93" s="19" t="s">
        <v>459</v>
      </c>
    </row>
    <row r="94" spans="1:3" ht="90" x14ac:dyDescent="0.25">
      <c r="A94" s="18" t="s">
        <v>418</v>
      </c>
      <c r="B94" s="18">
        <v>80</v>
      </c>
      <c r="C94" s="19" t="s">
        <v>508</v>
      </c>
    </row>
    <row r="95" spans="1:3" ht="90" x14ac:dyDescent="0.25">
      <c r="A95" s="18" t="s">
        <v>418</v>
      </c>
      <c r="B95" s="18">
        <v>81</v>
      </c>
      <c r="C95" s="19" t="s">
        <v>509</v>
      </c>
    </row>
    <row r="96" spans="1:3" ht="90" x14ac:dyDescent="0.25">
      <c r="A96" s="18" t="s">
        <v>418</v>
      </c>
      <c r="B96" s="18">
        <v>82</v>
      </c>
      <c r="C96" s="19" t="s">
        <v>510</v>
      </c>
    </row>
    <row r="97" spans="1:3" ht="90" x14ac:dyDescent="0.25">
      <c r="A97" s="18" t="s">
        <v>418</v>
      </c>
      <c r="B97" s="18">
        <v>83</v>
      </c>
      <c r="C97" s="19" t="s">
        <v>511</v>
      </c>
    </row>
    <row r="98" spans="1:3" ht="90" x14ac:dyDescent="0.25">
      <c r="A98" s="18" t="s">
        <v>418</v>
      </c>
      <c r="B98" s="18">
        <v>84</v>
      </c>
      <c r="C98" s="19" t="s">
        <v>512</v>
      </c>
    </row>
    <row r="99" spans="1:3" ht="90" x14ac:dyDescent="0.25">
      <c r="A99" s="18" t="s">
        <v>418</v>
      </c>
      <c r="B99" s="18">
        <v>85</v>
      </c>
      <c r="C99" s="19" t="s">
        <v>513</v>
      </c>
    </row>
    <row r="100" spans="1:3" ht="90" x14ac:dyDescent="0.25">
      <c r="A100" s="18" t="s">
        <v>418</v>
      </c>
      <c r="B100" s="18">
        <v>86</v>
      </c>
      <c r="C100" s="19" t="s">
        <v>514</v>
      </c>
    </row>
    <row r="101" spans="1:3" ht="90" x14ac:dyDescent="0.25">
      <c r="A101" s="18" t="s">
        <v>418</v>
      </c>
      <c r="B101" s="18">
        <v>87</v>
      </c>
      <c r="C101" s="19" t="s">
        <v>515</v>
      </c>
    </row>
    <row r="102" spans="1:3" ht="90" x14ac:dyDescent="0.25">
      <c r="A102" s="18" t="s">
        <v>418</v>
      </c>
      <c r="B102" s="18">
        <v>88</v>
      </c>
      <c r="C102" s="19" t="s">
        <v>516</v>
      </c>
    </row>
    <row r="103" spans="1:3" ht="90" x14ac:dyDescent="0.25">
      <c r="A103" s="18" t="s">
        <v>418</v>
      </c>
      <c r="B103" s="18">
        <v>89</v>
      </c>
      <c r="C103" s="19" t="s">
        <v>517</v>
      </c>
    </row>
    <row r="104" spans="1:3" ht="60" x14ac:dyDescent="0.25">
      <c r="A104" s="18" t="s">
        <v>35</v>
      </c>
      <c r="B104" s="18">
        <v>90</v>
      </c>
      <c r="C104" s="19" t="s">
        <v>466</v>
      </c>
    </row>
    <row r="105" spans="1:3" ht="30" x14ac:dyDescent="0.25">
      <c r="A105" s="18" t="s">
        <v>35</v>
      </c>
      <c r="B105" s="18">
        <v>90</v>
      </c>
      <c r="C105" s="19" t="s">
        <v>467</v>
      </c>
    </row>
    <row r="106" spans="1:3" ht="90" x14ac:dyDescent="0.25">
      <c r="A106" s="18" t="s">
        <v>418</v>
      </c>
      <c r="B106" s="18">
        <v>90</v>
      </c>
      <c r="C106" s="19" t="s">
        <v>518</v>
      </c>
    </row>
    <row r="107" spans="1:3" ht="90" x14ac:dyDescent="0.25">
      <c r="A107" s="18" t="s">
        <v>418</v>
      </c>
      <c r="B107" s="18">
        <v>91</v>
      </c>
      <c r="C107" s="19" t="s">
        <v>519</v>
      </c>
    </row>
    <row r="108" spans="1:3" ht="90" x14ac:dyDescent="0.25">
      <c r="A108" s="18" t="s">
        <v>418</v>
      </c>
      <c r="B108" s="18">
        <v>92</v>
      </c>
      <c r="C108" s="19" t="s">
        <v>520</v>
      </c>
    </row>
    <row r="109" spans="1:3" ht="90" x14ac:dyDescent="0.25">
      <c r="A109" s="18" t="s">
        <v>418</v>
      </c>
      <c r="B109" s="18">
        <v>93</v>
      </c>
      <c r="C109" s="19" t="s">
        <v>521</v>
      </c>
    </row>
    <row r="110" spans="1:3" ht="45" x14ac:dyDescent="0.25">
      <c r="A110" s="18" t="s">
        <v>35</v>
      </c>
      <c r="B110" s="18">
        <v>94</v>
      </c>
      <c r="C110" s="19" t="s">
        <v>458</v>
      </c>
    </row>
    <row r="111" spans="1:3" ht="90" x14ac:dyDescent="0.25">
      <c r="A111" s="18" t="s">
        <v>418</v>
      </c>
      <c r="B111" s="18">
        <v>94</v>
      </c>
      <c r="C111" s="19" t="s">
        <v>522</v>
      </c>
    </row>
    <row r="112" spans="1:3" ht="90" x14ac:dyDescent="0.25">
      <c r="A112" s="18" t="s">
        <v>418</v>
      </c>
      <c r="B112" s="18">
        <v>95</v>
      </c>
      <c r="C112" s="19" t="s">
        <v>523</v>
      </c>
    </row>
    <row r="113" spans="1:3" ht="45" x14ac:dyDescent="0.25">
      <c r="A113" s="18" t="s">
        <v>35</v>
      </c>
      <c r="B113" s="18">
        <v>96</v>
      </c>
      <c r="C113" s="19" t="s">
        <v>458</v>
      </c>
    </row>
    <row r="114" spans="1:3" ht="90" x14ac:dyDescent="0.25">
      <c r="A114" s="18" t="s">
        <v>418</v>
      </c>
      <c r="B114" s="18">
        <v>96</v>
      </c>
      <c r="C114" s="19" t="s">
        <v>524</v>
      </c>
    </row>
    <row r="115" spans="1:3" ht="45" x14ac:dyDescent="0.25">
      <c r="A115" s="18" t="s">
        <v>35</v>
      </c>
      <c r="B115" s="18">
        <v>97</v>
      </c>
      <c r="C115" s="19" t="s">
        <v>458</v>
      </c>
    </row>
    <row r="116" spans="1:3" ht="90" x14ac:dyDescent="0.25">
      <c r="A116" s="18" t="s">
        <v>418</v>
      </c>
      <c r="B116" s="18">
        <v>97</v>
      </c>
      <c r="C116" s="19" t="s">
        <v>525</v>
      </c>
    </row>
    <row r="117" spans="1:3" ht="90" x14ac:dyDescent="0.25">
      <c r="A117" s="18" t="s">
        <v>418</v>
      </c>
      <c r="B117" s="18">
        <v>98</v>
      </c>
      <c r="C117" s="19" t="s">
        <v>526</v>
      </c>
    </row>
    <row r="118" spans="1:3" ht="90" x14ac:dyDescent="0.25">
      <c r="A118" s="18" t="s">
        <v>418</v>
      </c>
      <c r="B118" s="18">
        <v>99</v>
      </c>
      <c r="C118" s="19" t="s">
        <v>527</v>
      </c>
    </row>
    <row r="119" spans="1:3" ht="90" x14ac:dyDescent="0.25">
      <c r="A119" s="18" t="s">
        <v>418</v>
      </c>
      <c r="B119" s="18">
        <v>100</v>
      </c>
      <c r="C119" s="19" t="s">
        <v>528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2022-03-30T15:57:50Z</dcterms:modified>
</cp:coreProperties>
</file>