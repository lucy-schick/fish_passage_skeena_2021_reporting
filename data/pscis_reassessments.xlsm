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F6EEC920-BAA1-4A6E-A5EF-41F83F88B80F}"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2" i="2"/>
  <c r="AM30" i="2"/>
  <c r="AM26" i="2"/>
  <c r="AM25" i="2"/>
  <c r="AM24" i="2"/>
  <c r="AM23" i="2"/>
  <c r="AM22"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L5166" i="2" s="1"/>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L292" i="2" s="1"/>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L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L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L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L1853" i="2" s="1"/>
  <c r="AG1853" i="2"/>
  <c r="AH1853" i="2"/>
  <c r="AI1853" i="2"/>
  <c r="AJ1853" i="2"/>
  <c r="AF1854" i="2"/>
  <c r="AK1854" i="2"/>
  <c r="AG1854" i="2"/>
  <c r="AH1854" i="2"/>
  <c r="AI1854" i="2"/>
  <c r="AJ1854" i="2"/>
  <c r="AF1855" i="2"/>
  <c r="AK1855" i="2" s="1"/>
  <c r="AG1855" i="2"/>
  <c r="AL1855" i="2" s="1"/>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s="1"/>
  <c r="AL1904" i="2" s="1"/>
  <c r="AG1904" i="2"/>
  <c r="AH1904" i="2"/>
  <c r="AI1904" i="2"/>
  <c r="AJ1904" i="2"/>
  <c r="AF1905" i="2"/>
  <c r="AK1905" i="2"/>
  <c r="AG1905" i="2"/>
  <c r="AH1905" i="2"/>
  <c r="AI1905" i="2"/>
  <c r="AJ1905" i="2"/>
  <c r="AF1906" i="2"/>
  <c r="AK1906" i="2" s="1"/>
  <c r="AG1906" i="2"/>
  <c r="AL1906" i="2" s="1"/>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L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L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L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L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L2040" i="2" s="1"/>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L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L2074" i="2" s="1"/>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L2094" i="2" s="1"/>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L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L2106" i="2" s="1"/>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L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L2118" i="2" s="1"/>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L2168" i="2" s="1"/>
  <c r="AG2168" i="2"/>
  <c r="AH2168" i="2"/>
  <c r="AI2168" i="2"/>
  <c r="AJ2168" i="2"/>
  <c r="AF2169" i="2"/>
  <c r="AK2169" i="2"/>
  <c r="AG2169" i="2"/>
  <c r="AH2169" i="2"/>
  <c r="AI2169" i="2"/>
  <c r="AJ2169" i="2"/>
  <c r="AF2170" i="2"/>
  <c r="AK2170" i="2" s="1"/>
  <c r="AG2170" i="2"/>
  <c r="AL2170" i="2" s="1"/>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L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L2215" i="2" s="1"/>
  <c r="AI2215" i="2"/>
  <c r="AJ2215" i="2"/>
  <c r="AF2216" i="2"/>
  <c r="AK2216" i="2"/>
  <c r="AG2216" i="2"/>
  <c r="AH2216" i="2"/>
  <c r="AI2216" i="2"/>
  <c r="AJ2216" i="2"/>
  <c r="AF2217" i="2"/>
  <c r="AK2217" i="2" s="1"/>
  <c r="AG2217" i="2"/>
  <c r="AH2217" i="2"/>
  <c r="AI2217" i="2"/>
  <c r="AL2217" i="2" s="1"/>
  <c r="AJ2217" i="2"/>
  <c r="AF2218" i="2"/>
  <c r="AK2218" i="2" s="1"/>
  <c r="AG2218" i="2"/>
  <c r="AH2218" i="2"/>
  <c r="AI2218" i="2"/>
  <c r="AJ2218" i="2"/>
  <c r="AF2219" i="2"/>
  <c r="AK2219" i="2" s="1"/>
  <c r="AG2219" i="2"/>
  <c r="AH2219" i="2"/>
  <c r="AI2219" i="2"/>
  <c r="AJ2219" i="2"/>
  <c r="AF2220" i="2"/>
  <c r="AK2220" i="2" s="1"/>
  <c r="AL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L2304" i="2" s="1"/>
  <c r="AF2305" i="2"/>
  <c r="AK2305" i="2" s="1"/>
  <c r="AG2305" i="2"/>
  <c r="AH2305" i="2"/>
  <c r="AI2305" i="2"/>
  <c r="AJ2305" i="2"/>
  <c r="AF2306" i="2"/>
  <c r="AK2306" i="2"/>
  <c r="AG2306" i="2"/>
  <c r="AH2306" i="2"/>
  <c r="AI2306" i="2"/>
  <c r="AJ2306" i="2"/>
  <c r="AF2307" i="2"/>
  <c r="AK2307" i="2" s="1"/>
  <c r="AL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L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s="1"/>
  <c r="AG2410" i="2"/>
  <c r="AH2410" i="2"/>
  <c r="AL2410" i="2" s="1"/>
  <c r="AI2410" i="2"/>
  <c r="AJ2410" i="2"/>
  <c r="AF2411" i="2"/>
  <c r="AK2411" i="2"/>
  <c r="AG2411" i="2"/>
  <c r="AH2411" i="2"/>
  <c r="AI2411" i="2"/>
  <c r="AJ2411" i="2"/>
  <c r="AF2412" i="2"/>
  <c r="AK2412" i="2" s="1"/>
  <c r="AG2412" i="2"/>
  <c r="AH2412" i="2"/>
  <c r="AI2412" i="2"/>
  <c r="AL2412" i="2" s="1"/>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L2438" i="2" s="1"/>
  <c r="AH2438" i="2"/>
  <c r="AI2438" i="2"/>
  <c r="AJ2438" i="2"/>
  <c r="AF2439" i="2"/>
  <c r="AK2439" i="2" s="1"/>
  <c r="AL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L2455" i="2" s="1"/>
  <c r="AH2455" i="2"/>
  <c r="AI2455" i="2"/>
  <c r="AJ2455" i="2"/>
  <c r="AF2456" i="2"/>
  <c r="AK2456" i="2" s="1"/>
  <c r="AG2456" i="2"/>
  <c r="AH2456" i="2"/>
  <c r="AI2456" i="2"/>
  <c r="AJ2456" i="2"/>
  <c r="AF2457" i="2"/>
  <c r="AK2457" i="2" s="1"/>
  <c r="AG2457" i="2"/>
  <c r="AH2457" i="2"/>
  <c r="AI2457" i="2"/>
  <c r="AL2457" i="2" s="1"/>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s="1"/>
  <c r="AL2463" i="2" s="1"/>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G2483" i="2"/>
  <c r="AH2483" i="2"/>
  <c r="AL2483" i="2" s="1"/>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L2507" i="2" s="1"/>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L2534" i="2" s="1"/>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H2584" i="2"/>
  <c r="AI2584" i="2"/>
  <c r="AL2584" i="2" s="1"/>
  <c r="AJ2584" i="2"/>
  <c r="AF2585" i="2"/>
  <c r="AK2585" i="2" s="1"/>
  <c r="AL2585" i="2" s="1"/>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L2674" i="2" s="1"/>
  <c r="AI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L2913" i="2" s="1"/>
  <c r="AJ2913" i="2"/>
  <c r="AF2914" i="2"/>
  <c r="AK2914" i="2"/>
  <c r="AG2914" i="2"/>
  <c r="AH2914" i="2"/>
  <c r="AI2914" i="2"/>
  <c r="AJ2914" i="2"/>
  <c r="AF2915" i="2"/>
  <c r="AK2915" i="2" s="1"/>
  <c r="AG2915" i="2"/>
  <c r="AH2915" i="2"/>
  <c r="AI2915" i="2"/>
  <c r="AJ2915" i="2"/>
  <c r="AL2915" i="2" s="1"/>
  <c r="AF2916" i="2"/>
  <c r="AK2916" i="2"/>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L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L2937" i="2" s="1"/>
  <c r="AG2937" i="2"/>
  <c r="AH2937" i="2"/>
  <c r="AI2937" i="2"/>
  <c r="AJ2937" i="2"/>
  <c r="AF2938" i="2"/>
  <c r="AK2938" i="2" s="1"/>
  <c r="AG2938" i="2"/>
  <c r="AH2938" i="2"/>
  <c r="AI2938" i="2"/>
  <c r="AJ2938" i="2"/>
  <c r="AF2939" i="2"/>
  <c r="AK2939" i="2" s="1"/>
  <c r="AL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L2976" i="2" s="1"/>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L3022" i="2" s="1"/>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L3092" i="2" s="1"/>
  <c r="AI3092" i="2"/>
  <c r="AJ3092" i="2"/>
  <c r="AF3093" i="2"/>
  <c r="AK3093" i="2" s="1"/>
  <c r="AG3093" i="2"/>
  <c r="AH3093" i="2"/>
  <c r="AI3093" i="2"/>
  <c r="AJ3093" i="2"/>
  <c r="AF3094" i="2"/>
  <c r="AK3094" i="2" s="1"/>
  <c r="AG3094" i="2"/>
  <c r="AH3094" i="2"/>
  <c r="AI3094" i="2"/>
  <c r="AJ3094" i="2"/>
  <c r="AL3094" i="2" s="1"/>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J3173" i="2"/>
  <c r="AF3174" i="2"/>
  <c r="AK3174" i="2" s="1"/>
  <c r="AG3174" i="2"/>
  <c r="AH3174" i="2"/>
  <c r="AI3174" i="2"/>
  <c r="AJ3174" i="2"/>
  <c r="AF3175" i="2"/>
  <c r="AK3175" i="2"/>
  <c r="AL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s="1"/>
  <c r="AL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s="1"/>
  <c r="AG3214" i="2"/>
  <c r="AH3214" i="2"/>
  <c r="AL3214" i="2" s="1"/>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L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s="1"/>
  <c r="AG3254" i="2"/>
  <c r="AH3254" i="2"/>
  <c r="AI3254" i="2"/>
  <c r="AJ3254" i="2"/>
  <c r="AF3255" i="2"/>
  <c r="AK3255" i="2" s="1"/>
  <c r="AG3255" i="2"/>
  <c r="AH3255" i="2"/>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L3306" i="2" s="1"/>
  <c r="AJ3306" i="2"/>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s="1"/>
  <c r="AL3311" i="2" s="1"/>
  <c r="AG3311" i="2"/>
  <c r="AH3311" i="2"/>
  <c r="AI3311" i="2"/>
  <c r="AJ3311" i="2"/>
  <c r="AF3312" i="2"/>
  <c r="AK3312" i="2" s="1"/>
  <c r="AG3312" i="2"/>
  <c r="AH3312" i="2"/>
  <c r="AI3312" i="2"/>
  <c r="AJ3312" i="2"/>
  <c r="AF3313" i="2"/>
  <c r="AK3313" i="2" s="1"/>
  <c r="AG3313" i="2"/>
  <c r="AH3313" i="2"/>
  <c r="AL3313" i="2" s="1"/>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L3351" i="2" s="1"/>
  <c r="AG3351" i="2"/>
  <c r="AH3351" i="2"/>
  <c r="AI3351" i="2"/>
  <c r="AJ3351" i="2"/>
  <c r="AF3352" i="2"/>
  <c r="AK3352" i="2" s="1"/>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s="1"/>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L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L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L3393" i="2" s="1"/>
  <c r="AG3393" i="2"/>
  <c r="AH3393" i="2"/>
  <c r="AI3393" i="2"/>
  <c r="AJ3393" i="2"/>
  <c r="AF3394" i="2"/>
  <c r="AK3394" i="2" s="1"/>
  <c r="AG3394" i="2"/>
  <c r="AH3394" i="2"/>
  <c r="AI3394" i="2"/>
  <c r="AJ3394" i="2"/>
  <c r="AF3395" i="2"/>
  <c r="AK3395" i="2" s="1"/>
  <c r="AG3395" i="2"/>
  <c r="AH3395" i="2"/>
  <c r="AL3395" i="2" s="1"/>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L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L3414" i="2" s="1"/>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s="1"/>
  <c r="AL3426" i="2" s="1"/>
  <c r="AG3426" i="2"/>
  <c r="AH3426" i="2"/>
  <c r="AI3426" i="2"/>
  <c r="AJ3426" i="2"/>
  <c r="AF3427" i="2"/>
  <c r="AK3427" i="2" s="1"/>
  <c r="AG3427" i="2"/>
  <c r="AH3427" i="2"/>
  <c r="AI3427" i="2"/>
  <c r="AJ3427" i="2"/>
  <c r="AF3428" i="2"/>
  <c r="AK3428" i="2" s="1"/>
  <c r="AG3428" i="2"/>
  <c r="AH3428" i="2"/>
  <c r="AL3428" i="2" s="1"/>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L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s="1"/>
  <c r="AG3525" i="2"/>
  <c r="AH3525" i="2"/>
  <c r="AL3525" i="2" s="1"/>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s="1"/>
  <c r="AL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L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L3604" i="2" s="1"/>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s="1"/>
  <c r="AL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L3645" i="2" s="1"/>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L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s="1"/>
  <c r="AL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s="1"/>
  <c r="AL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L3796" i="2" s="1"/>
  <c r="AG3796" i="2"/>
  <c r="AH3796" i="2"/>
  <c r="AI3796" i="2"/>
  <c r="AJ3796" i="2"/>
  <c r="AF3797" i="2"/>
  <c r="AK3797" i="2"/>
  <c r="AG3797" i="2"/>
  <c r="AH3797" i="2"/>
  <c r="AI3797" i="2"/>
  <c r="AJ3797" i="2"/>
  <c r="AF3798" i="2"/>
  <c r="AK3798" i="2" s="1"/>
  <c r="AG3798" i="2"/>
  <c r="AL3798" i="2" s="1"/>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L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L3819" i="2" s="1"/>
  <c r="AJ3819" i="2"/>
  <c r="AF3820" i="2"/>
  <c r="AK3820" i="2" s="1"/>
  <c r="AG3820" i="2"/>
  <c r="AH3820" i="2"/>
  <c r="AI3820" i="2"/>
  <c r="AJ3820" i="2"/>
  <c r="AF3821" i="2"/>
  <c r="AK3821" i="2" s="1"/>
  <c r="AG3821" i="2"/>
  <c r="AH3821" i="2"/>
  <c r="AI3821" i="2"/>
  <c r="AJ3821" i="2"/>
  <c r="AF3822" i="2"/>
  <c r="AK3822" i="2" s="1"/>
  <c r="AL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s="1"/>
  <c r="AG3833" i="2"/>
  <c r="AH3833" i="2"/>
  <c r="AI3833" i="2"/>
  <c r="AJ3833" i="2"/>
  <c r="AF3834" i="2"/>
  <c r="AK3834" i="2" s="1"/>
  <c r="AL3834" i="2" s="1"/>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L3875" i="2" s="1"/>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L3882" i="2" s="1"/>
  <c r="AI3882" i="2"/>
  <c r="AJ3882" i="2"/>
  <c r="AF3883" i="2"/>
  <c r="AK3883" i="2"/>
  <c r="AG3883" i="2"/>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s="1"/>
  <c r="AL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s="1"/>
  <c r="AG3900" i="2"/>
  <c r="AH3900" i="2"/>
  <c r="AI3900" i="2"/>
  <c r="AJ3900" i="2"/>
  <c r="AF3901" i="2"/>
  <c r="AK3901" i="2" s="1"/>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L3929" i="2" s="1"/>
  <c r="AH3929" i="2"/>
  <c r="AI3929" i="2"/>
  <c r="AJ3929" i="2"/>
  <c r="AF3930" i="2"/>
  <c r="AK3930" i="2"/>
  <c r="AG3930" i="2"/>
  <c r="AH3930" i="2"/>
  <c r="AI3930" i="2"/>
  <c r="AJ3930" i="2"/>
  <c r="AF3931" i="2"/>
  <c r="AK3931" i="2" s="1"/>
  <c r="AG3931" i="2"/>
  <c r="AH3931" i="2"/>
  <c r="AL3931" i="2" s="1"/>
  <c r="AI3931" i="2"/>
  <c r="AJ3931" i="2"/>
  <c r="AF3932" i="2"/>
  <c r="AK3932" i="2" s="1"/>
  <c r="AG3932" i="2"/>
  <c r="AH3932" i="2"/>
  <c r="AI3932" i="2"/>
  <c r="AJ3932" i="2"/>
  <c r="AF3933" i="2"/>
  <c r="AK3933" i="2" s="1"/>
  <c r="AG3933" i="2"/>
  <c r="AH3933" i="2"/>
  <c r="AI3933" i="2"/>
  <c r="AJ3933" i="2"/>
  <c r="AL3933" i="2" s="1"/>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L3950" i="2"/>
  <c r="AF3951" i="2"/>
  <c r="AK3951" i="2"/>
  <c r="AG3951" i="2"/>
  <c r="AH3951" i="2"/>
  <c r="AI3951" i="2"/>
  <c r="AJ3951" i="2"/>
  <c r="AF3952" i="2"/>
  <c r="AK3952" i="2"/>
  <c r="AG3952" i="2"/>
  <c r="AH3952" i="2"/>
  <c r="AI3952" i="2"/>
  <c r="AJ3952" i="2"/>
  <c r="AF3953" i="2"/>
  <c r="AK3953" i="2"/>
  <c r="AG3953" i="2"/>
  <c r="AH3953" i="2"/>
  <c r="AI3953" i="2"/>
  <c r="AJ3953" i="2"/>
  <c r="AF3954" i="2"/>
  <c r="AK3954" i="2" s="1"/>
  <c r="AG3954" i="2"/>
  <c r="AH3954" i="2"/>
  <c r="AI3954" i="2"/>
  <c r="AJ3954" i="2"/>
  <c r="AF3955" i="2"/>
  <c r="AK3955" i="2" s="1"/>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L4116" i="2" s="1"/>
  <c r="AJ4116" i="2"/>
  <c r="AF4117" i="2"/>
  <c r="AK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L4208" i="2" s="1"/>
  <c r="AH4208" i="2"/>
  <c r="AI4208" i="2"/>
  <c r="AJ4208" i="2"/>
  <c r="AF4209" i="2"/>
  <c r="AK4209" i="2" s="1"/>
  <c r="AG4209" i="2"/>
  <c r="AH4209" i="2"/>
  <c r="AI4209" i="2"/>
  <c r="AJ4209" i="2"/>
  <c r="AF4210" i="2"/>
  <c r="AK4210" i="2" s="1"/>
  <c r="AG4210" i="2"/>
  <c r="AH4210" i="2"/>
  <c r="AL4210" i="2" s="1"/>
  <c r="AI4210" i="2"/>
  <c r="AJ4210" i="2"/>
  <c r="AF4211" i="2"/>
  <c r="AK4211" i="2" s="1"/>
  <c r="AG4211" i="2"/>
  <c r="AH4211" i="2"/>
  <c r="AI4211" i="2"/>
  <c r="AJ4211" i="2"/>
  <c r="AF4212" i="2"/>
  <c r="AK4212" i="2" s="1"/>
  <c r="AG4212" i="2"/>
  <c r="AH4212" i="2"/>
  <c r="AI4212" i="2"/>
  <c r="AJ4212" i="2"/>
  <c r="AL4212" i="2" s="1"/>
  <c r="AF4213" i="2"/>
  <c r="AK4213" i="2" s="1"/>
  <c r="AG4213" i="2"/>
  <c r="AH4213" i="2"/>
  <c r="AI4213" i="2"/>
  <c r="AJ4213" i="2"/>
  <c r="AF4214" i="2"/>
  <c r="AK4214" i="2" s="1"/>
  <c r="AG4214" i="2"/>
  <c r="AH4214" i="2"/>
  <c r="AI4214" i="2"/>
  <c r="AJ4214" i="2"/>
  <c r="AF4215" i="2"/>
  <c r="AK4215" i="2" s="1"/>
  <c r="AG4215" i="2"/>
  <c r="AL4215" i="2" s="1"/>
  <c r="AH4215" i="2"/>
  <c r="AI4215" i="2"/>
  <c r="AJ4215" i="2"/>
  <c r="AF4216" i="2"/>
  <c r="AK4216" i="2" s="1"/>
  <c r="AG4216" i="2"/>
  <c r="AH4216" i="2"/>
  <c r="AI4216" i="2"/>
  <c r="AJ4216" i="2"/>
  <c r="AF4217" i="2"/>
  <c r="AK4217" i="2" s="1"/>
  <c r="AG4217" i="2"/>
  <c r="AH4217" i="2"/>
  <c r="AI4217" i="2"/>
  <c r="AL4217" i="2" s="1"/>
  <c r="AJ4217" i="2"/>
  <c r="AF4218" i="2"/>
  <c r="AK4218" i="2" s="1"/>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L4224" i="2" s="1"/>
  <c r="AF4225" i="2"/>
  <c r="AK4225" i="2" s="1"/>
  <c r="AG4225" i="2"/>
  <c r="AH4225" i="2"/>
  <c r="AI4225" i="2"/>
  <c r="AJ4225" i="2"/>
  <c r="AF4226" i="2"/>
  <c r="AK4226" i="2" s="1"/>
  <c r="AG4226" i="2"/>
  <c r="AH4226" i="2"/>
  <c r="AI4226" i="2"/>
  <c r="AJ4226" i="2"/>
  <c r="AF4227" i="2"/>
  <c r="AK4227" i="2" s="1"/>
  <c r="AG4227" i="2"/>
  <c r="AL4227" i="2" s="1"/>
  <c r="AH4227" i="2"/>
  <c r="AI4227" i="2"/>
  <c r="AJ4227" i="2"/>
  <c r="AF4228" i="2"/>
  <c r="AK4228" i="2" s="1"/>
  <c r="AG4228" i="2"/>
  <c r="AH4228" i="2"/>
  <c r="AI4228" i="2"/>
  <c r="AJ4228" i="2"/>
  <c r="AF4229" i="2"/>
  <c r="AK4229" i="2" s="1"/>
  <c r="AG4229" i="2"/>
  <c r="AH4229" i="2"/>
  <c r="AI4229" i="2"/>
  <c r="AL4229" i="2" s="1"/>
  <c r="AJ4229" i="2"/>
  <c r="AF4230" i="2"/>
  <c r="AK4230" i="2" s="1"/>
  <c r="AG4230" i="2"/>
  <c r="AH4230" i="2"/>
  <c r="AI4230" i="2"/>
  <c r="AJ4230" i="2"/>
  <c r="AF4231" i="2"/>
  <c r="AK4231" i="2" s="1"/>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L4234" i="2" s="1"/>
  <c r="AI4234" i="2"/>
  <c r="AJ4234" i="2"/>
  <c r="AF4235" i="2"/>
  <c r="AK4235" i="2" s="1"/>
  <c r="AG4235" i="2"/>
  <c r="AH4235" i="2"/>
  <c r="AI4235" i="2"/>
  <c r="AJ4235" i="2"/>
  <c r="AF4236" i="2"/>
  <c r="AK4236" i="2" s="1"/>
  <c r="AG4236" i="2"/>
  <c r="AH4236" i="2"/>
  <c r="AI4236" i="2"/>
  <c r="AJ4236" i="2"/>
  <c r="AL4236" i="2" s="1"/>
  <c r="AF4237" i="2"/>
  <c r="AG4237" i="2"/>
  <c r="AH4237" i="2"/>
  <c r="AI4237" i="2"/>
  <c r="AJ4237" i="2"/>
  <c r="AK4237" i="2"/>
  <c r="AF4238" i="2"/>
  <c r="AK4238" i="2" s="1"/>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L4243" i="2" s="1"/>
  <c r="AF4244" i="2"/>
  <c r="AK4244" i="2" s="1"/>
  <c r="AG4244" i="2"/>
  <c r="AL4244" i="2" s="1"/>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L4248" i="2" s="1"/>
  <c r="AJ4248" i="2"/>
  <c r="AF4249" i="2"/>
  <c r="AK4249" i="2" s="1"/>
  <c r="AG4249" i="2"/>
  <c r="AH4249" i="2"/>
  <c r="AI4249" i="2"/>
  <c r="AJ4249" i="2"/>
  <c r="AF4250" i="2"/>
  <c r="AK4250" i="2" s="1"/>
  <c r="AG4250" i="2"/>
  <c r="AL4250" i="2" s="1"/>
  <c r="AH4250" i="2"/>
  <c r="AI4250" i="2"/>
  <c r="AJ4250" i="2"/>
  <c r="AF4251" i="2"/>
  <c r="AK4251" i="2" s="1"/>
  <c r="AL4251" i="2" s="1"/>
  <c r="AG4251" i="2"/>
  <c r="AH4251" i="2"/>
  <c r="AI4251" i="2"/>
  <c r="AJ4251" i="2"/>
  <c r="AF4252" i="2"/>
  <c r="AK4252" i="2" s="1"/>
  <c r="AG4252" i="2"/>
  <c r="AH4252" i="2"/>
  <c r="AI4252" i="2"/>
  <c r="AJ4252" i="2"/>
  <c r="AF4253" i="2"/>
  <c r="AK4253" i="2" s="1"/>
  <c r="AG4253" i="2"/>
  <c r="AH4253" i="2"/>
  <c r="AL4253" i="2" s="1"/>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J4258" i="2"/>
  <c r="AF4259" i="2"/>
  <c r="AK4259" i="2"/>
  <c r="AG4259" i="2"/>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I4270" i="2"/>
  <c r="AJ4270" i="2"/>
  <c r="AF4271" i="2"/>
  <c r="AK4271" i="2" s="1"/>
  <c r="AG4271" i="2"/>
  <c r="AH4271" i="2"/>
  <c r="AI4271" i="2"/>
  <c r="AJ4271" i="2"/>
  <c r="AF4272" i="2"/>
  <c r="AK4272" i="2" s="1"/>
  <c r="AL4272" i="2" s="1"/>
  <c r="AG4272" i="2"/>
  <c r="AH4272" i="2"/>
  <c r="AI4272" i="2"/>
  <c r="AJ4272" i="2"/>
  <c r="AF4273" i="2"/>
  <c r="AK4273" i="2" s="1"/>
  <c r="AG4273" i="2"/>
  <c r="AH4273" i="2"/>
  <c r="AI4273" i="2"/>
  <c r="AJ4273" i="2"/>
  <c r="AF4274" i="2"/>
  <c r="AK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L4336" i="2" s="1"/>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L4345" i="2" s="1"/>
  <c r="AG4345" i="2"/>
  <c r="AH4345" i="2"/>
  <c r="AI4345" i="2"/>
  <c r="AJ4345" i="2"/>
  <c r="AF4346" i="2"/>
  <c r="AK4346" i="2"/>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L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s="1"/>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I4389" i="2"/>
  <c r="AJ4389" i="2"/>
  <c r="AF4390" i="2"/>
  <c r="AK4390" i="2" s="1"/>
  <c r="AG4390" i="2"/>
  <c r="AH4390" i="2"/>
  <c r="AI4390" i="2"/>
  <c r="AJ4390" i="2"/>
  <c r="AF4391" i="2"/>
  <c r="AK4391" i="2"/>
  <c r="AG4391" i="2"/>
  <c r="AH4391" i="2"/>
  <c r="AI4391" i="2"/>
  <c r="AJ4391" i="2"/>
  <c r="AF4392" i="2"/>
  <c r="AK4392" i="2" s="1"/>
  <c r="AG4392" i="2"/>
  <c r="AH4392" i="2"/>
  <c r="AI4392" i="2"/>
  <c r="AJ4392" i="2"/>
  <c r="AF4393" i="2"/>
  <c r="AK4393" i="2" s="1"/>
  <c r="AG4393" i="2"/>
  <c r="AH4393" i="2"/>
  <c r="AL4393" i="2" s="1"/>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s="1"/>
  <c r="AG4408" i="2"/>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L4415" i="2" s="1"/>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L4419" i="2" s="1"/>
  <c r="AG4419" i="2"/>
  <c r="AH4419" i="2"/>
  <c r="AI4419" i="2"/>
  <c r="AJ4419" i="2"/>
  <c r="AF4420" i="2"/>
  <c r="AK4420" i="2" s="1"/>
  <c r="AG4420" i="2"/>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s="1"/>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L4429" i="2" s="1"/>
  <c r="AG4429" i="2"/>
  <c r="AH4429" i="2"/>
  <c r="AI4429" i="2"/>
  <c r="AJ4429" i="2"/>
  <c r="AF4430" i="2"/>
  <c r="AK4430" i="2" s="1"/>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s="1"/>
  <c r="AG4437" i="2"/>
  <c r="AH4437" i="2"/>
  <c r="AI4437" i="2"/>
  <c r="AJ4437" i="2"/>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s="1"/>
  <c r="AG4451" i="2"/>
  <c r="AH4451" i="2"/>
  <c r="AI4451" i="2"/>
  <c r="AJ4451" i="2"/>
  <c r="AF4452" i="2"/>
  <c r="AK4452" i="2" s="1"/>
  <c r="AG4452" i="2"/>
  <c r="AH4452" i="2"/>
  <c r="AI4452" i="2"/>
  <c r="AL4452" i="2" s="1"/>
  <c r="AJ4452" i="2"/>
  <c r="AF4453" i="2"/>
  <c r="AK4453" i="2" s="1"/>
  <c r="AG4453" i="2"/>
  <c r="AH4453" i="2"/>
  <c r="AI4453" i="2"/>
  <c r="AJ4453" i="2"/>
  <c r="AF4454" i="2"/>
  <c r="AK4454" i="2" s="1"/>
  <c r="AG4454" i="2"/>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L4462" i="2" s="1"/>
  <c r="AG4462" i="2"/>
  <c r="AH4462" i="2"/>
  <c r="AI4462" i="2"/>
  <c r="AJ4462" i="2"/>
  <c r="AF4463" i="2"/>
  <c r="AK4463" i="2" s="1"/>
  <c r="AG4463" i="2"/>
  <c r="AH4463" i="2"/>
  <c r="AI4463" i="2"/>
  <c r="AL4463" i="2" s="1"/>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L4467" i="2" s="1"/>
  <c r="AH4467" i="2"/>
  <c r="AI4467" i="2"/>
  <c r="AJ4467" i="2"/>
  <c r="AF4468" i="2"/>
  <c r="AK4468" i="2" s="1"/>
  <c r="AG4468" i="2"/>
  <c r="AH4468" i="2"/>
  <c r="AI4468" i="2"/>
  <c r="AJ4468" i="2"/>
  <c r="AL4468" i="2" s="1"/>
  <c r="AF4469" i="2"/>
  <c r="AK4469" i="2" s="1"/>
  <c r="AL4469" i="2" s="1"/>
  <c r="AG4469" i="2"/>
  <c r="AH4469" i="2"/>
  <c r="AI4469" i="2"/>
  <c r="AJ4469" i="2"/>
  <c r="AF4470" i="2"/>
  <c r="AK4470" i="2" s="1"/>
  <c r="AG4470" i="2"/>
  <c r="AH4470" i="2"/>
  <c r="AI4470" i="2"/>
  <c r="AJ4470" i="2"/>
  <c r="AF4471" i="2"/>
  <c r="AK4471" i="2" s="1"/>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L4497" i="2" s="1"/>
  <c r="AI4497" i="2"/>
  <c r="AJ4497" i="2"/>
  <c r="AF4498" i="2"/>
  <c r="AK4498" i="2" s="1"/>
  <c r="AG4498" i="2"/>
  <c r="AH4498" i="2"/>
  <c r="AI4498" i="2"/>
  <c r="AJ4498" i="2"/>
  <c r="AF4499" i="2"/>
  <c r="AK4499" i="2" s="1"/>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s="1"/>
  <c r="AG4506" i="2"/>
  <c r="AH4506" i="2"/>
  <c r="AI4506" i="2"/>
  <c r="AJ4506" i="2"/>
  <c r="AF4507" i="2"/>
  <c r="AK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s="1"/>
  <c r="AL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s="1"/>
  <c r="AG4528" i="2"/>
  <c r="AH4528" i="2"/>
  <c r="AI4528" i="2"/>
  <c r="AJ4528" i="2"/>
  <c r="AF4529" i="2"/>
  <c r="AK4529" i="2" s="1"/>
  <c r="AG4529" i="2"/>
  <c r="AH4529" i="2"/>
  <c r="AI4529" i="2"/>
  <c r="AJ4529" i="2"/>
  <c r="AF4530" i="2"/>
  <c r="AK4530" i="2" s="1"/>
  <c r="AG4530" i="2"/>
  <c r="AH4530" i="2"/>
  <c r="AI4530" i="2"/>
  <c r="AJ4530" i="2"/>
  <c r="AF4531" i="2"/>
  <c r="AK4531" i="2" s="1"/>
  <c r="AG4531" i="2"/>
  <c r="AL4531" i="2" s="1"/>
  <c r="AH4531" i="2"/>
  <c r="AI4531" i="2"/>
  <c r="AJ4531" i="2"/>
  <c r="AF4532" i="2"/>
  <c r="AK4532" i="2" s="1"/>
  <c r="AG4532" i="2"/>
  <c r="AH4532" i="2"/>
  <c r="AI4532" i="2"/>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s="1"/>
  <c r="AG4536" i="2"/>
  <c r="AH4536" i="2"/>
  <c r="AI4536" i="2"/>
  <c r="AJ4536" i="2"/>
  <c r="AF4537" i="2"/>
  <c r="AK4537" i="2" s="1"/>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L4545" i="2" s="1"/>
  <c r="AF4546" i="2"/>
  <c r="AK4546" i="2" s="1"/>
  <c r="AG4546" i="2"/>
  <c r="AL4546" i="2" s="1"/>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F4563" i="2"/>
  <c r="AK4563" i="2"/>
  <c r="AG4563" i="2"/>
  <c r="AH4563" i="2"/>
  <c r="AI4563" i="2"/>
  <c r="AJ4563" i="2"/>
  <c r="AF4564" i="2"/>
  <c r="AK4564" i="2"/>
  <c r="AL4564" i="2" s="1"/>
  <c r="AG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s="1"/>
  <c r="AG4568" i="2"/>
  <c r="AH4568" i="2"/>
  <c r="AI4568" i="2"/>
  <c r="AJ4568" i="2"/>
  <c r="AF4569" i="2"/>
  <c r="AK4569" i="2" s="1"/>
  <c r="AG4569" i="2"/>
  <c r="AH4569" i="2"/>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s="1"/>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L4585" i="2" s="1"/>
  <c r="AH4585" i="2"/>
  <c r="AI4585" i="2"/>
  <c r="AJ4585" i="2"/>
  <c r="AF4586" i="2"/>
  <c r="AK4586" i="2" s="1"/>
  <c r="AG4586" i="2"/>
  <c r="AH4586" i="2"/>
  <c r="AI4586" i="2"/>
  <c r="AJ4586" i="2"/>
  <c r="AF4587" i="2"/>
  <c r="AK4587" i="2" s="1"/>
  <c r="AG4587" i="2"/>
  <c r="AH4587" i="2"/>
  <c r="AI4587" i="2"/>
  <c r="AJ4587" i="2"/>
  <c r="AF4588" i="2"/>
  <c r="AK4588" i="2" s="1"/>
  <c r="AL4588" i="2" s="1"/>
  <c r="AG4588" i="2"/>
  <c r="AH4588" i="2"/>
  <c r="AI4588" i="2"/>
  <c r="AJ4588" i="2"/>
  <c r="AF4589" i="2"/>
  <c r="AK4589" i="2" s="1"/>
  <c r="AG4589" i="2"/>
  <c r="AH4589" i="2"/>
  <c r="AI4589" i="2"/>
  <c r="AJ4589" i="2"/>
  <c r="AF4590" i="2"/>
  <c r="AK4590" i="2" s="1"/>
  <c r="AG4590" i="2"/>
  <c r="AH4590" i="2"/>
  <c r="AI4590" i="2"/>
  <c r="AJ4590" i="2"/>
  <c r="AF4591" i="2"/>
  <c r="AK4591" i="2" s="1"/>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s="1"/>
  <c r="AG4602" i="2"/>
  <c r="AH4602" i="2"/>
  <c r="AI4602" i="2"/>
  <c r="AJ4602" i="2"/>
  <c r="AF4603" i="2"/>
  <c r="AK4603" i="2" s="1"/>
  <c r="AG4603" i="2"/>
  <c r="AH4603" i="2"/>
  <c r="AI4603" i="2"/>
  <c r="AJ4603" i="2"/>
  <c r="AF4604" i="2"/>
  <c r="AK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s="1"/>
  <c r="AG4608" i="2"/>
  <c r="AH4608" i="2"/>
  <c r="AI4608" i="2"/>
  <c r="AJ4608" i="2"/>
  <c r="AF4609" i="2"/>
  <c r="AK4609" i="2"/>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s="1"/>
  <c r="AL4615" i="2" s="1"/>
  <c r="AG4615" i="2"/>
  <c r="AH4615" i="2"/>
  <c r="AI4615" i="2"/>
  <c r="AJ4615" i="2"/>
  <c r="AF4616" i="2"/>
  <c r="AK4616" i="2" s="1"/>
  <c r="AG4616" i="2"/>
  <c r="AH4616" i="2"/>
  <c r="AI4616" i="2"/>
  <c r="AJ4616" i="2"/>
  <c r="AF4617" i="2"/>
  <c r="AK4617" i="2" s="1"/>
  <c r="AG4617" i="2"/>
  <c r="AH4617" i="2"/>
  <c r="AI4617" i="2"/>
  <c r="AJ4617" i="2"/>
  <c r="AF4618" i="2"/>
  <c r="AK4618" i="2" s="1"/>
  <c r="AG4618" i="2"/>
  <c r="AH4618" i="2"/>
  <c r="AI4618" i="2"/>
  <c r="AJ4618" i="2"/>
  <c r="AF4619" i="2"/>
  <c r="AK4619" i="2" s="1"/>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L4639" i="2" s="1"/>
  <c r="AG4639" i="2"/>
  <c r="AH4639" i="2"/>
  <c r="AI4639" i="2"/>
  <c r="AJ4639" i="2"/>
  <c r="AF4640" i="2"/>
  <c r="AK4640" i="2" s="1"/>
  <c r="AG4640" i="2"/>
  <c r="AH4640" i="2"/>
  <c r="AI4640" i="2"/>
  <c r="AL4640" i="2" s="1"/>
  <c r="AJ4640" i="2"/>
  <c r="AF4641" i="2"/>
  <c r="AK4641" i="2"/>
  <c r="AG4641" i="2"/>
  <c r="AH4641" i="2"/>
  <c r="AI4641" i="2"/>
  <c r="AJ4641" i="2"/>
  <c r="AF4642" i="2"/>
  <c r="AK4642" i="2" s="1"/>
  <c r="AG4642" i="2"/>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L4646" i="2" s="1"/>
  <c r="AJ4646" i="2"/>
  <c r="AF4647" i="2"/>
  <c r="AK4647" i="2"/>
  <c r="AG4647" i="2"/>
  <c r="AH4647" i="2"/>
  <c r="AI4647" i="2"/>
  <c r="AJ4647" i="2"/>
  <c r="AF4648" i="2"/>
  <c r="AK4648" i="2"/>
  <c r="AG4648" i="2"/>
  <c r="AH4648" i="2"/>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s="1"/>
  <c r="AG4655" i="2"/>
  <c r="AH4655" i="2"/>
  <c r="AI4655" i="2"/>
  <c r="AJ4655" i="2"/>
  <c r="AF4656" i="2"/>
  <c r="AK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H4660" i="2"/>
  <c r="AI4660" i="2"/>
  <c r="AL4660" i="2" s="1"/>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s="1"/>
  <c r="AG4674" i="2"/>
  <c r="AH4674" i="2"/>
  <c r="AI4674" i="2"/>
  <c r="AJ4674" i="2"/>
  <c r="AF4675" i="2"/>
  <c r="AK4675" i="2"/>
  <c r="AG4675" i="2"/>
  <c r="AH4675" i="2"/>
  <c r="AL4675" i="2" s="1"/>
  <c r="AI4675" i="2"/>
  <c r="AJ4675" i="2"/>
  <c r="AF4676" i="2"/>
  <c r="AK4676" i="2"/>
  <c r="AL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s="1"/>
  <c r="AG4691" i="2"/>
  <c r="AH4691" i="2"/>
  <c r="AI4691" i="2"/>
  <c r="AJ4691" i="2"/>
  <c r="AF4692" i="2"/>
  <c r="AK4692" i="2" s="1"/>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s="1"/>
  <c r="AG4696" i="2"/>
  <c r="AH4696" i="2"/>
  <c r="AI4696" i="2"/>
  <c r="AJ4696" i="2"/>
  <c r="AF4697" i="2"/>
  <c r="AK4697" i="2"/>
  <c r="AG4697" i="2"/>
  <c r="AH4697" i="2"/>
  <c r="AI4697" i="2"/>
  <c r="AJ4697" i="2"/>
  <c r="AF4698" i="2"/>
  <c r="AK4698" i="2"/>
  <c r="AG4698" i="2"/>
  <c r="AH4698" i="2"/>
  <c r="AI4698" i="2"/>
  <c r="AJ4698" i="2"/>
  <c r="AF4699" i="2"/>
  <c r="AK4699" i="2"/>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J4702" i="2"/>
  <c r="AF4703" i="2"/>
  <c r="AK4703" i="2" s="1"/>
  <c r="AG4703" i="2"/>
  <c r="AH4703" i="2"/>
  <c r="AI4703" i="2"/>
  <c r="AJ4703" i="2"/>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s="1"/>
  <c r="AH4707" i="2"/>
  <c r="AI4707" i="2"/>
  <c r="AJ4707" i="2"/>
  <c r="AF4708" i="2"/>
  <c r="AK4708" i="2"/>
  <c r="AG4708" i="2"/>
  <c r="AH4708" i="2"/>
  <c r="AI4708" i="2"/>
  <c r="AJ4708" i="2"/>
  <c r="AF4709" i="2"/>
  <c r="AK4709" i="2" s="1"/>
  <c r="AL4709" i="2" s="1"/>
  <c r="AG4709" i="2"/>
  <c r="AH4709" i="2"/>
  <c r="AI4709" i="2"/>
  <c r="AJ4709" i="2"/>
  <c r="AF4710" i="2"/>
  <c r="AK4710" i="2" s="1"/>
  <c r="AG4710" i="2"/>
  <c r="AH4710" i="2"/>
  <c r="AI4710" i="2"/>
  <c r="AJ4710" i="2"/>
  <c r="AF4711" i="2"/>
  <c r="AK4711" i="2" s="1"/>
  <c r="AG4711" i="2"/>
  <c r="AH4711" i="2"/>
  <c r="AI4711" i="2"/>
  <c r="AJ4711" i="2"/>
  <c r="AF4712" i="2"/>
  <c r="AK4712" i="2"/>
  <c r="AG4712" i="2"/>
  <c r="AH4712" i="2"/>
  <c r="AI4712" i="2"/>
  <c r="AJ4712" i="2"/>
  <c r="AF4713" i="2"/>
  <c r="AK4713" i="2" s="1"/>
  <c r="AG4713" i="2"/>
  <c r="AL4713" i="2" s="1"/>
  <c r="AH4713" i="2"/>
  <c r="AI4713" i="2"/>
  <c r="AJ4713" i="2"/>
  <c r="AF4714" i="2"/>
  <c r="AK4714" i="2"/>
  <c r="AG4714" i="2"/>
  <c r="AH4714" i="2"/>
  <c r="AI4714" i="2"/>
  <c r="AJ4714" i="2"/>
  <c r="AF4715" i="2"/>
  <c r="AK4715" i="2"/>
  <c r="AG4715" i="2"/>
  <c r="AH4715" i="2"/>
  <c r="AI4715" i="2"/>
  <c r="AJ4715" i="2"/>
  <c r="AF4716" i="2"/>
  <c r="AK4716" i="2" s="1"/>
  <c r="AG4716" i="2"/>
  <c r="AH4716" i="2"/>
  <c r="AI4716" i="2"/>
  <c r="AJ4716" i="2"/>
  <c r="AF4717" i="2"/>
  <c r="AK4717" i="2"/>
  <c r="AG4717" i="2"/>
  <c r="AH4717" i="2"/>
  <c r="AI4717" i="2"/>
  <c r="AL4717" i="2" s="1"/>
  <c r="AJ4717" i="2"/>
  <c r="AF4718" i="2"/>
  <c r="AK4718" i="2" s="1"/>
  <c r="AG4718" i="2"/>
  <c r="AH4718" i="2"/>
  <c r="AI4718" i="2"/>
  <c r="AJ4718" i="2"/>
  <c r="AF4719" i="2"/>
  <c r="AK4719" i="2" s="1"/>
  <c r="AG4719" i="2"/>
  <c r="AH4719" i="2"/>
  <c r="AI4719" i="2"/>
  <c r="AJ4719" i="2"/>
  <c r="AF4720" i="2"/>
  <c r="AK4720" i="2" s="1"/>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G4740" i="2"/>
  <c r="AH4740" i="2"/>
  <c r="AI4740" i="2"/>
  <c r="AJ4740" i="2"/>
  <c r="AF4741" i="2"/>
  <c r="AK4741" i="2" s="1"/>
  <c r="AG4741" i="2"/>
  <c r="AL4741" i="2"/>
  <c r="AH4741" i="2"/>
  <c r="AI4741" i="2"/>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s="1"/>
  <c r="AG4745" i="2"/>
  <c r="AL4745" i="2" s="1"/>
  <c r="AH4745" i="2"/>
  <c r="AI4745" i="2"/>
  <c r="AJ4745" i="2"/>
  <c r="AF4746" i="2"/>
  <c r="AK4746" i="2" s="1"/>
  <c r="AG4746" i="2"/>
  <c r="AH4746" i="2"/>
  <c r="AI4746" i="2"/>
  <c r="AJ4746" i="2"/>
  <c r="AF4747" i="2"/>
  <c r="AK4747" i="2" s="1"/>
  <c r="AG4747" i="2"/>
  <c r="AL4747" i="2" s="1"/>
  <c r="AH4747" i="2"/>
  <c r="AI4747" i="2"/>
  <c r="AJ4747" i="2"/>
  <c r="AF4748" i="2"/>
  <c r="AK4748" i="2" s="1"/>
  <c r="AG4748" i="2"/>
  <c r="AH4748" i="2"/>
  <c r="AI4748" i="2"/>
  <c r="AJ4748" i="2"/>
  <c r="AF4749" i="2"/>
  <c r="AK4749" i="2"/>
  <c r="AG4749" i="2"/>
  <c r="AH4749" i="2"/>
  <c r="AI4749" i="2"/>
  <c r="AJ4749" i="2"/>
  <c r="AF4750" i="2"/>
  <c r="AK4750" i="2"/>
  <c r="AL4750" i="2" s="1"/>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s="1"/>
  <c r="AG4755" i="2"/>
  <c r="AH4755" i="2"/>
  <c r="AI4755" i="2"/>
  <c r="AL4755" i="2" s="1"/>
  <c r="AJ4755" i="2"/>
  <c r="AF4756" i="2"/>
  <c r="AK4756" i="2" s="1"/>
  <c r="AG4756" i="2"/>
  <c r="AH4756" i="2"/>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F4760" i="2"/>
  <c r="AK4760" i="2" s="1"/>
  <c r="AG4760" i="2"/>
  <c r="AH4760" i="2"/>
  <c r="AL4760" i="2" s="1"/>
  <c r="AI4760" i="2"/>
  <c r="AJ4760" i="2"/>
  <c r="AF4761" i="2"/>
  <c r="AK4761" i="2" s="1"/>
  <c r="AG4761" i="2"/>
  <c r="AH4761" i="2"/>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I4765" i="2"/>
  <c r="AJ4765" i="2"/>
  <c r="AF4766" i="2"/>
  <c r="AK4766" i="2" s="1"/>
  <c r="AG4766" i="2"/>
  <c r="AH4766" i="2"/>
  <c r="AI4766" i="2"/>
  <c r="AJ4766" i="2"/>
  <c r="AF4767" i="2"/>
  <c r="AK4767" i="2" s="1"/>
  <c r="AG4767" i="2"/>
  <c r="AH4767" i="2"/>
  <c r="AI4767" i="2"/>
  <c r="AJ4767" i="2"/>
  <c r="AF4768" i="2"/>
  <c r="AK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c r="AG4775" i="2"/>
  <c r="AH4775" i="2"/>
  <c r="AI4775" i="2"/>
  <c r="AJ4775" i="2"/>
  <c r="AF4776" i="2"/>
  <c r="AK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F4782" i="2"/>
  <c r="AK4782" i="2"/>
  <c r="AG4782" i="2"/>
  <c r="AH4782" i="2"/>
  <c r="AI4782" i="2"/>
  <c r="AJ4782" i="2"/>
  <c r="AF4783" i="2"/>
  <c r="AK4783" i="2" s="1"/>
  <c r="AG4783" i="2"/>
  <c r="AH4783" i="2"/>
  <c r="AI4783" i="2"/>
  <c r="AJ4783" i="2"/>
  <c r="AF4784" i="2"/>
  <c r="AK4784" i="2" s="1"/>
  <c r="AG4784" i="2"/>
  <c r="AH4784" i="2"/>
  <c r="AI4784" i="2"/>
  <c r="AJ4784" i="2"/>
  <c r="AF4785" i="2"/>
  <c r="AK4785" i="2" s="1"/>
  <c r="AG4785" i="2"/>
  <c r="AH4785" i="2"/>
  <c r="AI4785" i="2"/>
  <c r="AJ4785" i="2"/>
  <c r="AL4785" i="2" s="1"/>
  <c r="AF4786" i="2"/>
  <c r="AK4786" i="2" s="1"/>
  <c r="AG4786" i="2"/>
  <c r="AH4786" i="2"/>
  <c r="AI4786" i="2"/>
  <c r="AJ4786" i="2"/>
  <c r="AF4787" i="2"/>
  <c r="AK4787" i="2" s="1"/>
  <c r="AG4787" i="2"/>
  <c r="AH4787" i="2"/>
  <c r="AI4787" i="2"/>
  <c r="AJ4787" i="2"/>
  <c r="AF4788" i="2"/>
  <c r="AK4788" i="2" s="1"/>
  <c r="AG4788" i="2"/>
  <c r="AH4788" i="2"/>
  <c r="AI4788" i="2"/>
  <c r="AJ4788" i="2"/>
  <c r="AF4789" i="2"/>
  <c r="AK4789" i="2" s="1"/>
  <c r="AG4789" i="2"/>
  <c r="AH4789" i="2"/>
  <c r="AI4789" i="2"/>
  <c r="AJ4789" i="2"/>
  <c r="AF4790" i="2"/>
  <c r="AK4790" i="2" s="1"/>
  <c r="AG4790" i="2"/>
  <c r="AH4790" i="2"/>
  <c r="AI4790" i="2"/>
  <c r="AJ4790" i="2"/>
  <c r="AF4791" i="2"/>
  <c r="AK4791" i="2" s="1"/>
  <c r="AG4791" i="2"/>
  <c r="AH4791" i="2"/>
  <c r="AI4791" i="2"/>
  <c r="AL4791" i="2" s="1"/>
  <c r="AJ4791" i="2"/>
  <c r="AF4792" i="2"/>
  <c r="AK4792" i="2" s="1"/>
  <c r="AG4792" i="2"/>
  <c r="AH4792" i="2"/>
  <c r="AL4792" i="2" s="1"/>
  <c r="AI4792" i="2"/>
  <c r="AJ4792" i="2"/>
  <c r="AF4793" i="2"/>
  <c r="AK4793" i="2" s="1"/>
  <c r="AG4793" i="2"/>
  <c r="AL4793" i="2" s="1"/>
  <c r="AH4793" i="2"/>
  <c r="AI4793" i="2"/>
  <c r="AJ4793" i="2"/>
  <c r="AF4794" i="2"/>
  <c r="AK4794" i="2" s="1"/>
  <c r="AG4794" i="2"/>
  <c r="AH4794" i="2"/>
  <c r="AI4794" i="2"/>
  <c r="AJ4794" i="2"/>
  <c r="AF4795" i="2"/>
  <c r="AK4795" i="2" s="1"/>
  <c r="AG4795" i="2"/>
  <c r="AH4795" i="2"/>
  <c r="AI4795" i="2"/>
  <c r="AJ4795" i="2"/>
  <c r="AF4796" i="2"/>
  <c r="AK4796" i="2" s="1"/>
  <c r="AG4796" i="2"/>
  <c r="AH4796" i="2"/>
  <c r="AI4796" i="2"/>
  <c r="AJ4796" i="2"/>
  <c r="AF4797" i="2"/>
  <c r="AK4797" i="2" s="1"/>
  <c r="AG4797" i="2"/>
  <c r="AH4797" i="2"/>
  <c r="AI4797" i="2"/>
  <c r="AL4797" i="2" s="1"/>
  <c r="AJ4797" i="2"/>
  <c r="AF4798" i="2"/>
  <c r="AK4798" i="2" s="1"/>
  <c r="AG4798" i="2"/>
  <c r="AH4798" i="2"/>
  <c r="AI4798" i="2"/>
  <c r="AJ4798" i="2"/>
  <c r="AF4799" i="2"/>
  <c r="AK4799" i="2"/>
  <c r="AG4799" i="2"/>
  <c r="AH4799" i="2"/>
  <c r="AI4799" i="2"/>
  <c r="AJ4799" i="2"/>
  <c r="AL4799" i="2" s="1"/>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L4806" i="2" s="1"/>
  <c r="AF4807" i="2"/>
  <c r="AK4807" i="2"/>
  <c r="AG4807" i="2"/>
  <c r="AH4807" i="2"/>
  <c r="AI4807" i="2"/>
  <c r="AJ4807" i="2"/>
  <c r="AF4808" i="2"/>
  <c r="AK4808" i="2"/>
  <c r="AG4808" i="2"/>
  <c r="AH4808" i="2"/>
  <c r="AI4808" i="2"/>
  <c r="AJ4808" i="2"/>
  <c r="AF4809" i="2"/>
  <c r="AK4809" i="2" s="1"/>
  <c r="AG4809" i="2"/>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L4817" i="2" s="1"/>
  <c r="AJ4817" i="2"/>
  <c r="AF4818" i="2"/>
  <c r="AK4818" i="2"/>
  <c r="AG4818" i="2"/>
  <c r="AH4818" i="2"/>
  <c r="AI4818" i="2"/>
  <c r="AJ4818" i="2"/>
  <c r="AF4819" i="2"/>
  <c r="AK4819" i="2"/>
  <c r="AG4819" i="2"/>
  <c r="AH4819" i="2"/>
  <c r="AI4819" i="2"/>
  <c r="AL4819" i="2" s="1"/>
  <c r="AJ4819" i="2"/>
  <c r="AF4820" i="2"/>
  <c r="AK4820" i="2"/>
  <c r="AG4820" i="2"/>
  <c r="AH4820" i="2"/>
  <c r="AI4820" i="2"/>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L4830" i="2" s="1"/>
  <c r="AJ4830" i="2"/>
  <c r="AF4831" i="2"/>
  <c r="AK4831" i="2"/>
  <c r="AL4831" i="2" s="1"/>
  <c r="AG4831" i="2"/>
  <c r="AH4831" i="2"/>
  <c r="AI4831" i="2"/>
  <c r="AJ4831" i="2"/>
  <c r="AF4832" i="2"/>
  <c r="AK4832" i="2"/>
  <c r="AG4832" i="2"/>
  <c r="AL4832" i="2"/>
  <c r="AH4832" i="2"/>
  <c r="AI4832" i="2"/>
  <c r="AJ4832" i="2"/>
  <c r="AF4833" i="2"/>
  <c r="AK4833" i="2"/>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L4839" i="2" s="1"/>
  <c r="AG4839" i="2"/>
  <c r="AH4839" i="2"/>
  <c r="AI4839" i="2"/>
  <c r="AJ4839" i="2"/>
  <c r="AF4840" i="2"/>
  <c r="AK4840" i="2" s="1"/>
  <c r="AG4840" i="2"/>
  <c r="AH4840" i="2"/>
  <c r="AI4840" i="2"/>
  <c r="AJ4840" i="2"/>
  <c r="AF4841" i="2"/>
  <c r="AK4841" i="2" s="1"/>
  <c r="AG4841" i="2"/>
  <c r="AL4841" i="2" s="1"/>
  <c r="AH4841" i="2"/>
  <c r="AI4841" i="2"/>
  <c r="AJ4841" i="2"/>
  <c r="AF4842" i="2"/>
  <c r="AK4842" i="2" s="1"/>
  <c r="AG4842" i="2"/>
  <c r="AH4842" i="2"/>
  <c r="AI4842" i="2"/>
  <c r="AJ4842" i="2"/>
  <c r="AF4843" i="2"/>
  <c r="AK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c r="AG4854" i="2"/>
  <c r="AH4854" i="2"/>
  <c r="AI4854" i="2"/>
  <c r="AJ4854" i="2"/>
  <c r="AF4855" i="2"/>
  <c r="AK4855" i="2"/>
  <c r="AG4855" i="2"/>
  <c r="AH4855" i="2"/>
  <c r="AL4855" i="2" s="1"/>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c r="AG4861" i="2"/>
  <c r="AH4861" i="2"/>
  <c r="AI4861" i="2"/>
  <c r="AJ4861" i="2"/>
  <c r="AF4862" i="2"/>
  <c r="AK4862" i="2"/>
  <c r="AG4862" i="2"/>
  <c r="AL4862" i="2"/>
  <c r="AH4862" i="2"/>
  <c r="AI4862" i="2"/>
  <c r="AJ4862" i="2"/>
  <c r="AF4863" i="2"/>
  <c r="AK4863" i="2"/>
  <c r="AG4863" i="2"/>
  <c r="AH4863" i="2"/>
  <c r="AI4863" i="2"/>
  <c r="AJ4863" i="2"/>
  <c r="AF4864" i="2"/>
  <c r="AK4864" i="2" s="1"/>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s="1"/>
  <c r="AG4876" i="2"/>
  <c r="AH4876" i="2"/>
  <c r="AI4876" i="2"/>
  <c r="AJ4876" i="2"/>
  <c r="AF4877" i="2"/>
  <c r="AK4877" i="2" s="1"/>
  <c r="AG4877" i="2"/>
  <c r="AH4877" i="2"/>
  <c r="AI4877" i="2"/>
  <c r="AJ4877" i="2"/>
  <c r="AF4878" i="2"/>
  <c r="AK4878" i="2"/>
  <c r="AG4878" i="2"/>
  <c r="AH4878" i="2"/>
  <c r="AL4878" i="2" s="1"/>
  <c r="AI4878" i="2"/>
  <c r="AJ4878" i="2"/>
  <c r="AF4879" i="2"/>
  <c r="AK4879" i="2" s="1"/>
  <c r="AG4879" i="2"/>
  <c r="AL4879" i="2" s="1"/>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s="1"/>
  <c r="AG4888" i="2"/>
  <c r="AH4888" i="2"/>
  <c r="AI4888" i="2"/>
  <c r="AJ4888" i="2"/>
  <c r="AF4889" i="2"/>
  <c r="AK4889" i="2" s="1"/>
  <c r="AG4889" i="2"/>
  <c r="AH4889" i="2"/>
  <c r="AI4889" i="2"/>
  <c r="AJ4889" i="2"/>
  <c r="AF4890" i="2"/>
  <c r="AK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H4899" i="2"/>
  <c r="AI4899" i="2"/>
  <c r="AJ4899" i="2"/>
  <c r="AF4900" i="2"/>
  <c r="AK4900" i="2" s="1"/>
  <c r="AG4900" i="2"/>
  <c r="AH4900" i="2"/>
  <c r="AI4900" i="2"/>
  <c r="AJ4900" i="2"/>
  <c r="AF4901" i="2"/>
  <c r="AK4901" i="2" s="1"/>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L4915" i="2" s="1"/>
  <c r="AG4915" i="2"/>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s="1"/>
  <c r="AG4919" i="2"/>
  <c r="AH4919" i="2"/>
  <c r="AI4919" i="2"/>
  <c r="AJ4919" i="2"/>
  <c r="AF4920" i="2"/>
  <c r="AK4920" i="2" s="1"/>
  <c r="AG4920" i="2"/>
  <c r="AH4920" i="2"/>
  <c r="AI4920" i="2"/>
  <c r="AJ4920" i="2"/>
  <c r="AF4921" i="2"/>
  <c r="AK4921" i="2" s="1"/>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L4924" i="2" s="1"/>
  <c r="AF4925" i="2"/>
  <c r="AK4925" i="2" s="1"/>
  <c r="AG4925" i="2"/>
  <c r="AH4925" i="2"/>
  <c r="AI4925" i="2"/>
  <c r="AJ4925" i="2"/>
  <c r="AF4926" i="2"/>
  <c r="AK4926" i="2" s="1"/>
  <c r="AG4926" i="2"/>
  <c r="AH4926" i="2"/>
  <c r="AI4926" i="2"/>
  <c r="AJ4926" i="2"/>
  <c r="AF4927" i="2"/>
  <c r="AK4927" i="2" s="1"/>
  <c r="AG4927" i="2"/>
  <c r="AH4927" i="2"/>
  <c r="AI4927" i="2"/>
  <c r="AJ4927" i="2"/>
  <c r="AF4928" i="2"/>
  <c r="AK4928" i="2" s="1"/>
  <c r="AG4928" i="2"/>
  <c r="AH4928" i="2"/>
  <c r="AI4928" i="2"/>
  <c r="AJ4928" i="2"/>
  <c r="AF4929" i="2"/>
  <c r="AK4929" i="2" s="1"/>
  <c r="AL4929" i="2" s="1"/>
  <c r="AG4929" i="2"/>
  <c r="AH4929" i="2"/>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c r="AG4942" i="2"/>
  <c r="AL4942" i="2" s="1"/>
  <c r="AH4942" i="2"/>
  <c r="AI4942" i="2"/>
  <c r="AJ4942" i="2"/>
  <c r="AF4943" i="2"/>
  <c r="AK4943" i="2"/>
  <c r="AG4943" i="2"/>
  <c r="AH4943" i="2"/>
  <c r="AL4943" i="2" s="1"/>
  <c r="AI4943" i="2"/>
  <c r="AJ4943" i="2"/>
  <c r="AF4944" i="2"/>
  <c r="AK4944" i="2" s="1"/>
  <c r="AL4944" i="2" s="1"/>
  <c r="AG4944" i="2"/>
  <c r="AH4944" i="2"/>
  <c r="AI4944" i="2"/>
  <c r="AJ4944" i="2"/>
  <c r="AF4945" i="2"/>
  <c r="AK4945" i="2"/>
  <c r="AG4945" i="2"/>
  <c r="AL4945" i="2"/>
  <c r="AH4945" i="2"/>
  <c r="AI4945" i="2"/>
  <c r="AJ4945" i="2"/>
  <c r="AF4946" i="2"/>
  <c r="AK4946" i="2" s="1"/>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J4950" i="2"/>
  <c r="AF4951" i="2"/>
  <c r="AK4951" i="2"/>
  <c r="AG4951" i="2"/>
  <c r="AH4951" i="2"/>
  <c r="AI4951" i="2"/>
  <c r="AJ4951" i="2"/>
  <c r="AL4951" i="2" s="1"/>
  <c r="AF4952" i="2"/>
  <c r="AG4952" i="2"/>
  <c r="AH4952" i="2"/>
  <c r="AI4952" i="2"/>
  <c r="AJ4952" i="2"/>
  <c r="AK4952" i="2"/>
  <c r="AL4952" i="2" s="1"/>
  <c r="AF4953" i="2"/>
  <c r="AK4953" i="2"/>
  <c r="AG4953" i="2"/>
  <c r="AH4953" i="2"/>
  <c r="AI4953" i="2"/>
  <c r="AJ4953" i="2"/>
  <c r="AL4953" i="2" s="1"/>
  <c r="AF4954" i="2"/>
  <c r="AK4954" i="2"/>
  <c r="AG4954" i="2"/>
  <c r="AH4954" i="2"/>
  <c r="AI4954" i="2"/>
  <c r="AJ4954" i="2"/>
  <c r="AF4955" i="2"/>
  <c r="AK4955" i="2"/>
  <c r="AG4955" i="2"/>
  <c r="AH4955" i="2"/>
  <c r="AI4955" i="2"/>
  <c r="AJ4955" i="2"/>
  <c r="AL4955" i="2" s="1"/>
  <c r="AF4956" i="2"/>
  <c r="AK4956" i="2"/>
  <c r="AG4956" i="2"/>
  <c r="AH4956" i="2"/>
  <c r="AI4956" i="2"/>
  <c r="AJ4956" i="2"/>
  <c r="AF4957" i="2"/>
  <c r="AK4957" i="2"/>
  <c r="AG4957" i="2"/>
  <c r="AH4957" i="2"/>
  <c r="AI4957" i="2"/>
  <c r="AL4957" i="2" s="1"/>
  <c r="AJ4957" i="2"/>
  <c r="AF4958" i="2"/>
  <c r="AK4958" i="2"/>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c r="AG4964" i="2"/>
  <c r="AH4964" i="2"/>
  <c r="AI4964" i="2"/>
  <c r="AJ4964" i="2"/>
  <c r="AF4965" i="2"/>
  <c r="AK4965" i="2" s="1"/>
  <c r="AG4965" i="2"/>
  <c r="AH4965" i="2"/>
  <c r="AI4965" i="2"/>
  <c r="AJ4965" i="2"/>
  <c r="AL4965" i="2" s="1"/>
  <c r="AF4966" i="2"/>
  <c r="AK4966" i="2" s="1"/>
  <c r="AG4966" i="2"/>
  <c r="AH4966" i="2"/>
  <c r="AI4966" i="2"/>
  <c r="AJ4966" i="2"/>
  <c r="AF4967" i="2"/>
  <c r="AK4967" i="2" s="1"/>
  <c r="AG4967" i="2"/>
  <c r="AH4967" i="2"/>
  <c r="AI4967" i="2"/>
  <c r="AJ4967" i="2"/>
  <c r="AF4968" i="2"/>
  <c r="AK4968" i="2"/>
  <c r="AG4968" i="2"/>
  <c r="AH4968" i="2"/>
  <c r="AI4968" i="2"/>
  <c r="AJ4968" i="2"/>
  <c r="AF4969" i="2"/>
  <c r="AK4969" i="2"/>
  <c r="AG4969" i="2"/>
  <c r="AH4969" i="2"/>
  <c r="AI4969" i="2"/>
  <c r="AJ4969" i="2"/>
  <c r="AF4970" i="2"/>
  <c r="AK4970" i="2"/>
  <c r="AG4970" i="2"/>
  <c r="AH4970" i="2"/>
  <c r="AL4970" i="2" s="1"/>
  <c r="AI4970" i="2"/>
  <c r="AJ4970" i="2"/>
  <c r="AF4971" i="2"/>
  <c r="AK4971" i="2" s="1"/>
  <c r="AG4971" i="2"/>
  <c r="AH4971" i="2"/>
  <c r="AI4971" i="2"/>
  <c r="AJ4971" i="2"/>
  <c r="AF4972" i="2"/>
  <c r="AK4972" i="2" s="1"/>
  <c r="AG4972" i="2"/>
  <c r="AH4972" i="2"/>
  <c r="AI4972" i="2"/>
  <c r="AJ4972" i="2"/>
  <c r="AF4973" i="2"/>
  <c r="AK4973" i="2" s="1"/>
  <c r="AL4973" i="2" s="1"/>
  <c r="AG4973" i="2"/>
  <c r="AH4973" i="2"/>
  <c r="AI4973" i="2"/>
  <c r="AJ4973" i="2"/>
  <c r="AF4974" i="2"/>
  <c r="AK4974" i="2" s="1"/>
  <c r="AL4974" i="2" s="1"/>
  <c r="AG4974" i="2"/>
  <c r="AH4974" i="2"/>
  <c r="AI4974" i="2"/>
  <c r="AJ4974" i="2"/>
  <c r="AF4975" i="2"/>
  <c r="AK4975" i="2"/>
  <c r="AG4975" i="2"/>
  <c r="AH4975" i="2"/>
  <c r="AL4975" i="2" s="1"/>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J4986" i="2"/>
  <c r="AL4986" i="2" s="1"/>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G4992" i="2"/>
  <c r="AH4992" i="2"/>
  <c r="AI4992" i="2"/>
  <c r="AJ4992" i="2"/>
  <c r="AL4992" i="2" s="1"/>
  <c r="AF4993" i="2"/>
  <c r="AK4993" i="2" s="1"/>
  <c r="AG4993" i="2"/>
  <c r="AH4993" i="2"/>
  <c r="AI4993" i="2"/>
  <c r="AJ4993" i="2"/>
  <c r="AF4994" i="2"/>
  <c r="AK4994" i="2" s="1"/>
  <c r="AG4994" i="2"/>
  <c r="AH4994" i="2"/>
  <c r="AI4994" i="2"/>
  <c r="AJ4994" i="2"/>
  <c r="AF4995" i="2"/>
  <c r="AK4995" i="2"/>
  <c r="AG4995" i="2"/>
  <c r="AH4995" i="2"/>
  <c r="AI4995" i="2"/>
  <c r="AJ4995" i="2"/>
  <c r="AF4996" i="2"/>
  <c r="AK4996" i="2" s="1"/>
  <c r="AG4996" i="2"/>
  <c r="AH4996" i="2"/>
  <c r="AI4996" i="2"/>
  <c r="AJ4996" i="2"/>
  <c r="AF4997" i="2"/>
  <c r="AK4997" i="2" s="1"/>
  <c r="AG4997" i="2"/>
  <c r="AL4997" i="2" s="1"/>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587" i="2"/>
  <c r="AL3568" i="2"/>
  <c r="AL3536" i="2"/>
  <c r="AL3512" i="2"/>
  <c r="AL3459" i="2"/>
  <c r="AL3448" i="2"/>
  <c r="AL3384" i="2"/>
  <c r="AL3331" i="2"/>
  <c r="AL3267" i="2"/>
  <c r="AL3256" i="2"/>
  <c r="AL3203" i="2"/>
  <c r="AL3192" i="2"/>
  <c r="AL69" i="2"/>
  <c r="AL61" i="2"/>
  <c r="AL53" i="2"/>
  <c r="AL45" i="2"/>
  <c r="AL37" i="2"/>
  <c r="AL21" i="2"/>
  <c r="AM21"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3520"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05" i="2"/>
  <c r="AL3592" i="2"/>
  <c r="AL3586" i="2"/>
  <c r="AL3573" i="2"/>
  <c r="AL3560" i="2"/>
  <c r="AL3554" i="2"/>
  <c r="AL3547" i="2"/>
  <c r="AL3541" i="2"/>
  <c r="AL3528" i="2"/>
  <c r="AL3522" i="2"/>
  <c r="AL3487" i="2"/>
  <c r="AL3475" i="2"/>
  <c r="AL3423" i="2"/>
  <c r="AL3411" i="2"/>
  <c r="AL3394" i="2"/>
  <c r="AL3359" i="2"/>
  <c r="AL3347" i="2"/>
  <c r="AL3295" i="2"/>
  <c r="AL3283"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77" i="2"/>
  <c r="AL3369" i="2"/>
  <c r="AL3361" i="2"/>
  <c r="AL3345" i="2"/>
  <c r="AL3337" i="2"/>
  <c r="AL3329"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29" i="2"/>
  <c r="AL2921"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3692" i="2"/>
  <c r="AL3684" i="2"/>
  <c r="AL3668" i="2"/>
  <c r="AL3660" i="2"/>
  <c r="AL3652" i="2"/>
  <c r="AL3644" i="2"/>
  <c r="AL3636" i="2"/>
  <c r="AL3620" i="2"/>
  <c r="AL3612" i="2"/>
  <c r="AL3596" i="2"/>
  <c r="AL3588" i="2"/>
  <c r="AL3580"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09" i="2"/>
  <c r="AL3501" i="2"/>
  <c r="AL3485" i="2"/>
  <c r="AL3477" i="2"/>
  <c r="AL3469" i="2"/>
  <c r="AL3461" i="2"/>
  <c r="AL3453" i="2"/>
  <c r="AL3445" i="2"/>
  <c r="AL3437" i="2"/>
  <c r="AL3429" i="2"/>
  <c r="AL3421" i="2"/>
  <c r="AL3413" i="2"/>
  <c r="AL3397" i="2"/>
  <c r="AL3389" i="2"/>
  <c r="AL3373" i="2"/>
  <c r="AL3365" i="2"/>
  <c r="AL3357" i="2"/>
  <c r="AL3349" i="2"/>
  <c r="AL3341" i="2"/>
  <c r="AL3325" i="2"/>
  <c r="AL3301" i="2"/>
  <c r="AL3293" i="2"/>
  <c r="AL3277" i="2"/>
  <c r="AL3269" i="2"/>
  <c r="AL3261" i="2"/>
  <c r="AL3245" i="2"/>
  <c r="AL3237" i="2"/>
  <c r="AL3229" i="2"/>
  <c r="AL3213" i="2"/>
  <c r="AL3205" i="2"/>
  <c r="AL3197"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86" i="2"/>
  <c r="AL3078" i="2"/>
  <c r="AL3070" i="2"/>
  <c r="AL3062" i="2"/>
  <c r="AL3054" i="2"/>
  <c r="AL3046" i="2"/>
  <c r="AL3038" i="2"/>
  <c r="AL3030" i="2"/>
  <c r="AL3014" i="2"/>
  <c r="AL3006" i="2"/>
  <c r="AL2998" i="2"/>
  <c r="AL2990" i="2"/>
  <c r="AL2982" i="2"/>
  <c r="AL2974" i="2"/>
  <c r="AL2966" i="2"/>
  <c r="AL2950" i="2"/>
  <c r="AL2942" i="2"/>
  <c r="AL2934" i="2"/>
  <c r="AL2926"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2" i="2"/>
  <c r="AL2297" i="2"/>
  <c r="AL2291" i="2"/>
  <c r="AL2286" i="2"/>
  <c r="AL2281" i="2"/>
  <c r="AL2275" i="2"/>
  <c r="AL2270" i="2"/>
  <c r="AL2265" i="2"/>
  <c r="AL2259" i="2"/>
  <c r="AL2254" i="2"/>
  <c r="AL2249" i="2"/>
  <c r="AL2243" i="2"/>
  <c r="AL2238" i="2"/>
  <c r="AL2233" i="2"/>
  <c r="AL2227" i="2"/>
  <c r="AL2222" i="2"/>
  <c r="AL2211" i="2"/>
  <c r="AL2206" i="2"/>
  <c r="AL2201" i="2"/>
  <c r="AL2195" i="2"/>
  <c r="AL2190" i="2"/>
  <c r="AL2179" i="2"/>
  <c r="AL2174" i="2"/>
  <c r="AL2163" i="2"/>
  <c r="AL2158" i="2"/>
  <c r="AL2147" i="2"/>
  <c r="AL2142" i="2"/>
  <c r="AL2131" i="2"/>
  <c r="AL2126" i="2"/>
  <c r="AL2115" i="2"/>
  <c r="AL2110"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45" i="2"/>
  <c r="AL1839" i="2"/>
  <c r="AL1829" i="2"/>
  <c r="AL1823" i="2"/>
  <c r="AL1813" i="2"/>
  <c r="AL1807" i="2"/>
  <c r="AL1797" i="2"/>
  <c r="AL1791" i="2"/>
  <c r="AL1781" i="2"/>
  <c r="AL1775" i="2"/>
  <c r="AL1765" i="2"/>
  <c r="AL1759" i="2"/>
  <c r="AL1749" i="2"/>
  <c r="AL1673" i="2"/>
  <c r="AL1653" i="2"/>
  <c r="AL1643" i="2"/>
  <c r="AL1623" i="2"/>
  <c r="AL1508" i="2"/>
  <c r="AL2078" i="2"/>
  <c r="AL2062" i="2"/>
  <c r="AL2054" i="2"/>
  <c r="AL2046" i="2"/>
  <c r="AL2038" i="2"/>
  <c r="AL2030" i="2"/>
  <c r="AL2022" i="2"/>
  <c r="AL2014" i="2"/>
  <c r="AL2008" i="2"/>
  <c r="AL1997" i="2"/>
  <c r="AL1967" i="2"/>
  <c r="AL1950" i="2"/>
  <c r="AL1944" i="2"/>
  <c r="AL1933" i="2"/>
  <c r="AL1705" i="2"/>
  <c r="AL1685" i="2"/>
  <c r="AL2009" i="2"/>
  <c r="AL1993" i="2"/>
  <c r="AL1985" i="2"/>
  <c r="AL1969" i="2"/>
  <c r="AL1961"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M31" i="2" s="1"/>
  <c r="AL23" i="2"/>
  <c r="AL89" i="2"/>
  <c r="AL81" i="2"/>
  <c r="AL73" i="2"/>
  <c r="AL65" i="2"/>
  <c r="AL57" i="2"/>
  <c r="AL49" i="2"/>
  <c r="AL41" i="2"/>
  <c r="AL75" i="2"/>
  <c r="AL67" i="2"/>
  <c r="AL59" i="2"/>
  <c r="AL51" i="2"/>
  <c r="AL43" i="2"/>
  <c r="AL35" i="2"/>
  <c r="AL27" i="2"/>
  <c r="AM27" i="2" s="1"/>
  <c r="AM17" i="2"/>
  <c r="AL19" i="2"/>
  <c r="AM19" i="2"/>
  <c r="AL20" i="2"/>
  <c r="AL18" i="2"/>
  <c r="AM18" i="2"/>
  <c r="AL16" i="2"/>
  <c r="AM16" i="2"/>
  <c r="AL15" i="2"/>
  <c r="AM15" i="2"/>
  <c r="AL14" i="2"/>
  <c r="AM14" i="2" s="1"/>
  <c r="AL12" i="2"/>
  <c r="AM12" i="2"/>
  <c r="AL4551" i="2"/>
  <c r="AL4351" i="2"/>
  <c r="AL4563" i="2"/>
  <c r="AL4541" i="2"/>
  <c r="AL4509" i="2"/>
  <c r="AL4665" i="2"/>
  <c r="AL4329" i="2"/>
  <c r="AL4268" i="2"/>
  <c r="AL4200" i="2"/>
  <c r="AL4149" i="2"/>
  <c r="AL4136" i="2"/>
  <c r="AL4092" i="2"/>
  <c r="AL4085" i="2"/>
  <c r="AL4062" i="2"/>
  <c r="AL4395" i="2"/>
  <c r="AL4337" i="2"/>
  <c r="AL4333" i="2"/>
  <c r="AL4293" i="2"/>
  <c r="AL4368" i="2"/>
  <c r="AL4341" i="2"/>
  <c r="AL4331" i="2"/>
  <c r="AL4308" i="2"/>
  <c r="AL4291" i="2"/>
  <c r="AL4263" i="2"/>
  <c r="AL4235" i="2"/>
  <c r="AL4184" i="2"/>
  <c r="AL4175" i="2"/>
  <c r="AL4140" i="2"/>
  <c r="AL4133" i="2"/>
  <c r="AL4120" i="2"/>
  <c r="AL4107" i="2"/>
  <c r="AL4076" i="2"/>
  <c r="AL4069" i="2"/>
  <c r="AL4064" i="2"/>
  <c r="AL4059" i="2"/>
  <c r="AL4032" i="2"/>
  <c r="AL4027" i="2"/>
  <c r="AL4012" i="2"/>
  <c r="AL3996" i="2"/>
  <c r="AL3980" i="2"/>
  <c r="AL4353" i="2"/>
  <c r="AL4339" i="2"/>
  <c r="AL4201" i="2"/>
  <c r="AL4144" i="2"/>
  <c r="AL4137" i="2"/>
  <c r="AL4080" i="2"/>
  <c r="AL4067" i="2"/>
  <c r="AL4060" i="2"/>
  <c r="AL4049" i="2"/>
  <c r="AL4028" i="2"/>
  <c r="AL4392" i="2"/>
  <c r="AL4357" i="2"/>
  <c r="AL4316" i="2"/>
  <c r="AL4305" i="2"/>
  <c r="AL4299" i="2"/>
  <c r="AL4284" i="2"/>
  <c r="AL4273" i="2"/>
  <c r="AL4245" i="2"/>
  <c r="AL4223" i="2"/>
  <c r="AL4188" i="2"/>
  <c r="AL4181" i="2"/>
  <c r="AL4159" i="2"/>
  <c r="AL4124" i="2"/>
  <c r="AL4104" i="2"/>
  <c r="AL4016" i="2"/>
  <c r="AL4000" i="2"/>
  <c r="AL3984" i="2"/>
  <c r="AL3968" i="2"/>
  <c r="AL4369" i="2"/>
  <c r="AL4355" i="2"/>
  <c r="AL4247" i="2"/>
  <c r="AL4185" i="2"/>
  <c r="AL4183" i="2"/>
  <c r="AL4179" i="2"/>
  <c r="AL4121" i="2"/>
  <c r="AL4119" i="2"/>
  <c r="AL4115" i="2"/>
  <c r="AL4040" i="2"/>
  <c r="AL4401" i="2"/>
  <c r="AL4363"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0"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28" i="2"/>
  <c r="AL2122"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11" i="2"/>
  <c r="AL4434" i="2"/>
  <c r="AL4829" i="2"/>
  <c r="AL4720" i="2"/>
  <c r="AL4558" i="2"/>
  <c r="AL4818" i="2"/>
  <c r="AL4697" i="2"/>
  <c r="AL4447" i="2"/>
  <c r="AL4169" i="2"/>
  <c r="AL4163" i="2"/>
  <c r="AL4157" i="2"/>
  <c r="AL4086" i="2"/>
  <c r="AL4051" i="2"/>
  <c r="AL3935" i="2"/>
  <c r="AL3897" i="2"/>
  <c r="AL3803" i="2"/>
  <c r="AL3776" i="2"/>
  <c r="AL4221" i="2"/>
  <c r="AL4151" i="2"/>
  <c r="AL4135" i="2"/>
  <c r="AL3862" i="2"/>
  <c r="AL4126" i="2"/>
  <c r="AL4624"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908" i="2"/>
  <c r="AL4816" i="2"/>
  <c r="AL4599" i="2"/>
  <c r="AL4459" i="2"/>
  <c r="AL4433" i="2"/>
  <c r="AL4303" i="2"/>
  <c r="AL3843" i="2"/>
  <c r="AL4654" i="2"/>
  <c r="AL4501" i="2"/>
  <c r="AL4493" i="2"/>
  <c r="AL4466" i="2"/>
  <c r="AL4756" i="2"/>
  <c r="AL4644" i="2"/>
  <c r="AL4494" i="2"/>
  <c r="AL4478" i="2"/>
  <c r="AL4454" i="2"/>
  <c r="AL4431" i="2"/>
  <c r="AL4338" i="2"/>
  <c r="AL4007" i="2"/>
  <c r="AL3986" i="2"/>
  <c r="AL4633" i="2"/>
  <c r="AL4549" i="2"/>
  <c r="AL4461" i="2"/>
  <c r="AL4439" i="2"/>
  <c r="AL4365" i="2"/>
  <c r="AL4330" i="2"/>
  <c r="AL4262" i="2"/>
  <c r="AL4166" i="2"/>
  <c r="AL4142" i="2"/>
  <c r="AL3824" i="2"/>
  <c r="AL3659" i="2"/>
  <c r="AL4359" i="2"/>
  <c r="AL4342"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889" i="2"/>
  <c r="AL3807" i="2"/>
  <c r="AL3793" i="2"/>
  <c r="AL3748" i="2"/>
  <c r="AL3745" i="2"/>
  <c r="AL3703" i="2"/>
  <c r="AL3690" i="2"/>
  <c r="AL3578"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601" i="2"/>
  <c r="AL4396" i="2"/>
  <c r="AL4807" i="2"/>
  <c r="AL4668" i="2"/>
  <c r="AL4332" i="2"/>
  <c r="AL4910" i="2"/>
  <c r="AL4636" i="2"/>
  <c r="AL4617" i="2"/>
  <c r="AL4837" i="2"/>
  <c r="AL4835" i="2"/>
  <c r="AL4629" i="2"/>
  <c r="AL4533" i="2"/>
  <c r="AL4487" i="2"/>
  <c r="AL4334" i="2"/>
  <c r="AL4233" i="2"/>
  <c r="AL4670" i="2"/>
  <c r="AL4688" i="2"/>
  <c r="AL4503" i="2"/>
  <c r="AL4346"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76" i="2"/>
  <c r="AL3859" i="2"/>
  <c r="AL3791" i="2"/>
  <c r="AL3608"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32" i="2"/>
  <c r="AL3700" i="2"/>
  <c r="AL3549" i="2"/>
  <c r="AL3514" i="2"/>
  <c r="AL3317" i="2"/>
  <c r="AL3258" i="2"/>
  <c r="AL3249" i="2"/>
  <c r="AL2945" i="2"/>
  <c r="AL3355" i="2"/>
  <c r="AL3314" i="2"/>
  <c r="AL3236"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44" i="2"/>
  <c r="AL2279" i="2"/>
  <c r="AL2232" i="2"/>
  <c r="AL2023" i="2"/>
  <c r="AL2003" i="2"/>
  <c r="AL1856" i="2"/>
  <c r="AL1340" i="2"/>
  <c r="AL1381" i="2"/>
  <c r="AL2300" i="2"/>
  <c r="AL2116" i="2"/>
  <c r="AL2083" i="2"/>
  <c r="AL1936" i="2"/>
  <c r="AL1605" i="2"/>
  <c r="AL2367"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10" i="2"/>
  <c r="AL8" i="2"/>
  <c r="AM8" i="2" s="1"/>
  <c r="AL4914" i="2"/>
  <c r="AL4597" i="2"/>
  <c r="AL4704" i="2"/>
  <c r="AL4664" i="2"/>
  <c r="AL4579" i="2"/>
  <c r="AL4698" i="2"/>
  <c r="AL4895" i="2"/>
  <c r="AL4850" i="2"/>
  <c r="AL4385" i="2"/>
  <c r="AL4298" i="2"/>
  <c r="AL4143" i="2"/>
  <c r="AL4083" i="2"/>
  <c r="AL4035" i="2"/>
  <c r="AL3999" i="2"/>
  <c r="AL3979" i="2"/>
  <c r="AL3969" i="2"/>
  <c r="AL3744" i="2"/>
  <c r="AL3546" i="2"/>
  <c r="AL4485" i="2"/>
  <c r="AL4366" i="2"/>
  <c r="AL4321" i="2"/>
  <c r="AL4167" i="2"/>
  <c r="AL4153" i="2"/>
  <c r="AL4110" i="2"/>
  <c r="AL4096" i="2"/>
  <c r="AL4328"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89" i="2"/>
  <c r="AL4779" i="2"/>
  <c r="AL4733" i="2"/>
  <c r="AL4719" i="2"/>
  <c r="AL4556" i="2"/>
  <c r="AL4537" i="2"/>
  <c r="AL4515" i="2"/>
  <c r="AL4772" i="2"/>
  <c r="AL4647" i="2"/>
  <c r="AL4582" i="2"/>
  <c r="AL4843" i="2"/>
  <c r="AL4789" i="2"/>
  <c r="AL4766" i="2"/>
  <c r="AL4723" i="2"/>
  <c r="AL4604" i="2"/>
  <c r="AL4506" i="2"/>
  <c r="AL4656" i="2"/>
  <c r="AL4635" i="2"/>
  <c r="AL4580" i="2"/>
  <c r="AL4574" i="2"/>
  <c r="AL4548" i="2"/>
  <c r="AL4522" i="2"/>
  <c r="AL4449" i="2"/>
  <c r="AL4925" i="2"/>
  <c r="AL4848" i="2"/>
  <c r="AL4770" i="2"/>
  <c r="AL4689" i="2"/>
  <c r="AL4659" i="2"/>
  <c r="AL4645" i="2"/>
  <c r="AL4623" i="2"/>
  <c r="AL4619" i="2"/>
  <c r="AL4586" i="2"/>
  <c r="AL4650" i="2"/>
  <c r="AL4572" i="2"/>
  <c r="AL4554" i="2"/>
  <c r="AL4529" i="2"/>
  <c r="AL4525" i="2"/>
  <c r="AL4498" i="2"/>
  <c r="AL4412" i="2"/>
  <c r="AL4404" i="2"/>
  <c r="AL4394" i="2"/>
  <c r="AL4375" i="2"/>
  <c r="AL4254" i="2"/>
  <c r="AL4632" i="2"/>
  <c r="AL4543" i="2"/>
  <c r="AL4526" i="2"/>
  <c r="AL4370" i="2"/>
  <c r="AL4671" i="2"/>
  <c r="AL4565" i="2"/>
  <c r="AL4500" i="2"/>
  <c r="AL4446" i="2"/>
  <c r="AL4382" i="2"/>
  <c r="AL4362" i="2"/>
  <c r="AL4125" i="2"/>
  <c r="AL4678" i="2"/>
  <c r="AL4643" i="2"/>
  <c r="AL4552" i="2"/>
  <c r="AL4442" i="2"/>
  <c r="AL4427" i="2"/>
  <c r="AL4413" i="2"/>
  <c r="AL4288" i="2"/>
  <c r="AL4614" i="2"/>
  <c r="AL4566" i="2"/>
  <c r="AL4519" i="2"/>
  <c r="AL4240" i="2"/>
  <c r="AL4679" i="2"/>
  <c r="AL4592" i="2"/>
  <c r="AL4100" i="2"/>
  <c r="AL4486" i="2"/>
  <c r="AL4479" i="2"/>
  <c r="AL4440" i="2"/>
  <c r="AL4425" i="2"/>
  <c r="AL4414" i="2"/>
  <c r="AL4411" i="2"/>
  <c r="AL4400" i="2"/>
  <c r="AL4381" i="2"/>
  <c r="AL4325" i="2"/>
  <c r="AL4302" i="2"/>
  <c r="AL4290" i="2"/>
  <c r="AL4178" i="2"/>
  <c r="AL4112" i="2"/>
  <c r="AL4246" i="2"/>
  <c r="AL4079" i="2"/>
  <c r="AL4292" i="2"/>
  <c r="AL4276" i="2"/>
  <c r="AL4087" i="2"/>
  <c r="AL4005" i="2"/>
  <c r="AL3963" i="2"/>
  <c r="AL3939" i="2"/>
  <c r="AL3853" i="2"/>
  <c r="AL3762" i="2"/>
  <c r="AL3680" i="2"/>
  <c r="AL4358" i="2"/>
  <c r="AL4066" i="2"/>
  <c r="AL3851" i="2"/>
  <c r="AL3661" i="2"/>
  <c r="AL3333" i="2"/>
  <c r="AL4350" i="2"/>
  <c r="AL4070" i="2"/>
  <c r="AL4031" i="2"/>
  <c r="AL3971" i="2"/>
  <c r="AL3763" i="2"/>
  <c r="AL3729" i="2"/>
  <c r="AL353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4959" i="2"/>
  <c r="AL4961" i="2"/>
  <c r="AL4988" i="2"/>
  <c r="AL4941" i="2"/>
  <c r="AL4978" i="2"/>
  <c r="AL4976" i="2"/>
  <c r="AL4934" i="2"/>
  <c r="AL4900" i="2"/>
  <c r="AL4889" i="2"/>
  <c r="AL4870" i="2"/>
  <c r="AL4868" i="2"/>
  <c r="AL4856" i="2"/>
  <c r="AL4847" i="2"/>
  <c r="AL4836" i="2"/>
  <c r="AL4823" i="2"/>
  <c r="AL4815" i="2"/>
  <c r="AL4776" i="2"/>
  <c r="AL4984" i="2"/>
  <c r="AL4963" i="2"/>
  <c r="AL4939" i="2"/>
  <c r="AL4877" i="2"/>
  <c r="AL4764" i="2"/>
  <c r="AL4402" i="2"/>
  <c r="AL4364" i="2"/>
  <c r="AL4990" i="2"/>
  <c r="AL4969" i="2"/>
  <c r="AL4949" i="2"/>
  <c r="AL4923" i="2"/>
  <c r="AL4904" i="2"/>
  <c r="AL4901" i="2"/>
  <c r="AL4891" i="2"/>
  <c r="AL4840" i="2"/>
  <c r="AL4821" i="2"/>
  <c r="AL4769" i="2"/>
  <c r="AL4409" i="2"/>
  <c r="AL4971" i="2"/>
  <c r="AL4876" i="2"/>
  <c r="AL4851" i="2"/>
  <c r="AL4849" i="2"/>
  <c r="AL4998" i="2"/>
  <c r="AL4967" i="2"/>
  <c r="AL4936" i="2"/>
  <c r="AL4906" i="2"/>
  <c r="AL4899" i="2"/>
  <c r="AL4886" i="2"/>
  <c r="AL4882" i="2"/>
  <c r="AL4853" i="2"/>
  <c r="AL4771" i="2"/>
  <c r="AL4693" i="2"/>
  <c r="AL4994" i="2"/>
  <c r="AL4977" i="2"/>
  <c r="AL4946" i="2"/>
  <c r="AL4927" i="2"/>
  <c r="AL4888" i="2"/>
  <c r="AL4872" i="2"/>
  <c r="AL4867" i="2"/>
  <c r="AL4863" i="2"/>
  <c r="AL4859" i="2"/>
  <c r="AL4983" i="2"/>
  <c r="AL4972" i="2"/>
  <c r="AL4960" i="2"/>
  <c r="AL4958" i="2"/>
  <c r="AL4956" i="2"/>
  <c r="AL4950" i="2"/>
  <c r="AL4938" i="2"/>
  <c r="AL4920" i="2"/>
  <c r="AL4861" i="2"/>
  <c r="AL4814" i="2"/>
  <c r="AL4708" i="2"/>
  <c r="AL4962" i="2"/>
  <c r="AL4948" i="2"/>
  <c r="AL4926" i="2"/>
  <c r="AL4907" i="2"/>
  <c r="AL4903" i="2"/>
  <c r="AL4896" i="2"/>
  <c r="AL4894" i="2"/>
  <c r="AL4881" i="2"/>
  <c r="AL4865" i="2"/>
  <c r="AL4784" i="2"/>
  <c r="AL4754" i="2"/>
  <c r="AL4930" i="2"/>
  <c r="AL4991" i="2"/>
  <c r="AL4964" i="2"/>
  <c r="AL4954" i="2"/>
  <c r="AL4933" i="2"/>
  <c r="AL4917" i="2"/>
  <c r="AL4913" i="2"/>
  <c r="AL4911" i="2"/>
  <c r="AL4805" i="2"/>
  <c r="AL4985" i="2"/>
  <c r="AL4968" i="2"/>
  <c r="AL4947" i="2"/>
  <c r="AL4935" i="2"/>
  <c r="AL4858" i="2"/>
  <c r="AL4852" i="2"/>
  <c r="AL4846" i="2"/>
  <c r="AL4800" i="2"/>
  <c r="AL4405" i="2"/>
  <c r="AL4190" i="2"/>
  <c r="AL4995" i="2"/>
  <c r="AL4987" i="2"/>
  <c r="AL4980" i="2"/>
  <c r="AL4966" i="2"/>
  <c r="AL4928" i="2"/>
  <c r="AL4919" i="2"/>
  <c r="AL4909" i="2"/>
  <c r="AL4902" i="2"/>
  <c r="AL4898" i="2"/>
  <c r="AL4892" i="2"/>
  <c r="AL4887" i="2"/>
  <c r="AL4871" i="2"/>
  <c r="AL4864" i="2"/>
  <c r="AL4860" i="2"/>
  <c r="AL4854" i="2"/>
  <c r="AL4813" i="2"/>
  <c r="AL4781" i="2"/>
  <c r="AL4742" i="2"/>
  <c r="AL4737" i="2"/>
  <c r="AL4471" i="2"/>
  <c r="AL4424" i="2"/>
  <c r="AL4389" i="2"/>
  <c r="AL4761" i="2"/>
  <c r="AL4752" i="2"/>
  <c r="AL4718" i="2"/>
  <c r="AL4716" i="2"/>
  <c r="AL4686" i="2"/>
  <c r="AL4680" i="2"/>
  <c r="AL4612" i="2"/>
  <c r="AL4607" i="2"/>
  <c r="AL4603" i="2"/>
  <c r="AL4596" i="2"/>
  <c r="AL4578" i="2"/>
  <c r="AL4553" i="2"/>
  <c r="AL4550" i="2"/>
  <c r="AL4544" i="2"/>
  <c r="AL4512" i="2"/>
  <c r="AL4499" i="2"/>
  <c r="AL4457" i="2"/>
  <c r="AL4450" i="2"/>
  <c r="AL4280" i="2"/>
  <c r="AL3956" i="2"/>
  <c r="AL4918" i="2"/>
  <c r="AL4897" i="2"/>
  <c r="AL4893" i="2"/>
  <c r="AL4874" i="2"/>
  <c r="AL4845" i="2"/>
  <c r="AL4828" i="2"/>
  <c r="AL4824" i="2"/>
  <c r="AL4811" i="2"/>
  <c r="AL4796" i="2"/>
  <c r="AL4767" i="2"/>
  <c r="AL4724" i="2"/>
  <c r="AL4722" i="2"/>
  <c r="AL4682" i="2"/>
  <c r="AL4649" i="2"/>
  <c r="AL4622" i="2"/>
  <c r="AL4590" i="2"/>
  <c r="AL4555" i="2"/>
  <c r="AL4505" i="2"/>
  <c r="AL4492" i="2"/>
  <c r="AL4488" i="2"/>
  <c r="AL4484" i="2"/>
  <c r="AL4475" i="2"/>
  <c r="AL4408" i="2"/>
  <c r="AL4391" i="2"/>
  <c r="AL4360" i="2"/>
  <c r="AL4186" i="2"/>
  <c r="AL4728" i="2"/>
  <c r="AL4703" i="2"/>
  <c r="AL4630" i="2"/>
  <c r="AL4620" i="2"/>
  <c r="AL4516" i="2"/>
  <c r="AL4513" i="2"/>
  <c r="AL4420" i="2"/>
  <c r="AL4416" i="2"/>
  <c r="AL4380" i="2"/>
  <c r="AL4318" i="2"/>
  <c r="AL4114" i="2"/>
  <c r="AL4075" i="2"/>
  <c r="AL4435" i="2"/>
  <c r="AL4301" i="2"/>
  <c r="AL4257" i="2"/>
  <c r="AL4255" i="2"/>
  <c r="AL4775" i="2"/>
  <c r="AL4773" i="2"/>
  <c r="AL4749" i="2"/>
  <c r="AL4721" i="2"/>
  <c r="AL4705" i="2"/>
  <c r="AL4694" i="2"/>
  <c r="AL4667" i="2"/>
  <c r="AL4577" i="2"/>
  <c r="AL4575" i="2"/>
  <c r="AL4573" i="2"/>
  <c r="AL4571" i="2"/>
  <c r="AL4561" i="2"/>
  <c r="AL4437" i="2"/>
  <c r="AL4418" i="2"/>
  <c r="AL4407" i="2"/>
  <c r="AL4270" i="2"/>
  <c r="AL4259" i="2"/>
  <c r="AL4732" i="2"/>
  <c r="AL4730" i="2"/>
  <c r="AL4683" i="2"/>
  <c r="AL4648" i="2"/>
  <c r="AL4609" i="2"/>
  <c r="AL4600" i="2"/>
  <c r="AL4598" i="2"/>
  <c r="AL4583" i="2"/>
  <c r="AL4581" i="2"/>
  <c r="AL4524" i="2"/>
  <c r="AL4451" i="2"/>
  <c r="AL4445" i="2"/>
  <c r="AL4443" i="2"/>
  <c r="AL4441" i="2"/>
  <c r="AL4371" i="2"/>
  <c r="AL4322" i="2"/>
  <c r="AL4228" i="2"/>
  <c r="AL4842" i="2"/>
  <c r="AL4838" i="2"/>
  <c r="AL4802" i="2"/>
  <c r="AL4787" i="2"/>
  <c r="AL4751" i="2"/>
  <c r="AL4611" i="2"/>
  <c r="AL4602" i="2"/>
  <c r="AL4591" i="2"/>
  <c r="AL4569" i="2"/>
  <c r="AL4538" i="2"/>
  <c r="AL4532" i="2"/>
  <c r="AL4517" i="2"/>
  <c r="AL4464" i="2"/>
  <c r="AL4453" i="2"/>
  <c r="AL4384" i="2"/>
  <c r="AL4320" i="2"/>
  <c r="AL4145" i="2"/>
  <c r="AL3307" i="2"/>
  <c r="AL4905" i="2"/>
  <c r="AL4890" i="2"/>
  <c r="AL4885" i="2"/>
  <c r="AL4810" i="2"/>
  <c r="AL4808" i="2"/>
  <c r="AL4768" i="2"/>
  <c r="AL4757" i="2"/>
  <c r="AL4725" i="2"/>
  <c r="AL4696" i="2"/>
  <c r="AL4690" i="2"/>
  <c r="AL4687" i="2"/>
  <c r="AL4662" i="2"/>
  <c r="AL4642" i="2"/>
  <c r="AL4593" i="2"/>
  <c r="AL4528" i="2"/>
  <c r="AL4386" i="2"/>
  <c r="AL4274" i="2"/>
  <c r="AL4170" i="2"/>
  <c r="AL3885" i="2"/>
  <c r="AL4825" i="2"/>
  <c r="AL4804" i="2"/>
  <c r="AL4740" i="2"/>
  <c r="AL4738" i="2"/>
  <c r="AL4736" i="2"/>
  <c r="AL4706" i="2"/>
  <c r="AL4685" i="2"/>
  <c r="AL4625" i="2"/>
  <c r="AL4608" i="2"/>
  <c r="AL4606" i="2"/>
  <c r="AL4595" i="2"/>
  <c r="AL4530" i="2"/>
  <c r="AL4521" i="2"/>
  <c r="AL4504" i="2"/>
  <c r="AL4474" i="2"/>
  <c r="AL4470" i="2"/>
  <c r="AL4397" i="2"/>
  <c r="AL4388" i="2"/>
  <c r="AL4289" i="2"/>
  <c r="AL4213" i="2"/>
  <c r="AL3758" i="2"/>
  <c r="AL3309" i="2"/>
  <c r="AL4780" i="2"/>
  <c r="AL4778" i="2"/>
  <c r="AL4746" i="2"/>
  <c r="AL4672" i="2"/>
  <c r="AL4631" i="2"/>
  <c r="AL4610" i="2"/>
  <c r="AL4495" i="2"/>
  <c r="AL4476" i="2"/>
  <c r="AL4417" i="2"/>
  <c r="AL4304" i="2"/>
  <c r="AL4258" i="2"/>
  <c r="AL4827" i="2"/>
  <c r="AL4820" i="2"/>
  <c r="AL4774" i="2"/>
  <c r="AL4765" i="2"/>
  <c r="AL4759" i="2"/>
  <c r="AL4714" i="2"/>
  <c r="AL4691" i="2"/>
  <c r="AL4560" i="2"/>
  <c r="AL4438" i="2"/>
  <c r="AL4423" i="2"/>
  <c r="AL4406" i="2"/>
  <c r="AL4383" i="2"/>
  <c r="AL4306" i="2"/>
  <c r="AL4117" i="2"/>
  <c r="AL3993" i="2"/>
  <c r="AL3915" i="2"/>
  <c r="AL3872" i="2"/>
  <c r="AL3709" i="2"/>
  <c r="AL2689" i="2"/>
  <c r="AL3884" i="2"/>
  <c r="AL3825" i="2"/>
  <c r="AL3764" i="2"/>
  <c r="AL3695" i="2"/>
  <c r="AL3683" i="2"/>
  <c r="AL3465" i="2"/>
  <c r="AL3385" i="2"/>
  <c r="AL3382" i="2"/>
  <c r="AL3300" i="2"/>
  <c r="AL2851" i="2"/>
  <c r="AL3953" i="2"/>
  <c r="AL3467" i="2"/>
  <c r="AL3443" i="2"/>
  <c r="AL3555" i="2"/>
  <c r="AL3481" i="2"/>
  <c r="AL3447" i="2"/>
  <c r="AL3378" i="2"/>
  <c r="AL3234" i="2"/>
  <c r="AL2875" i="2"/>
  <c r="AL4072" i="2"/>
  <c r="AL3676" i="2"/>
  <c r="AL2835" i="2"/>
  <c r="AL1971" i="2"/>
  <c r="AL3928" i="2"/>
  <c r="AL3883" i="2"/>
  <c r="AL3774" i="2"/>
  <c r="AL3757" i="2"/>
  <c r="AL3741" i="2"/>
  <c r="AL3728" i="2"/>
  <c r="AL3630" i="2"/>
  <c r="AL3535" i="2"/>
  <c r="AL3327" i="2"/>
  <c r="AL4195" i="2"/>
  <c r="AL4182" i="2"/>
  <c r="AL4147" i="2"/>
  <c r="AL4129" i="2"/>
  <c r="AL4081" i="2"/>
  <c r="AL3948" i="2"/>
  <c r="AL3743" i="2"/>
  <c r="AL3721" i="2"/>
  <c r="AL3611" i="2"/>
  <c r="AL3316" i="2"/>
  <c r="AL2690" i="2"/>
  <c r="AL4097" i="2"/>
  <c r="AL4095" i="2"/>
  <c r="AL3856" i="2"/>
  <c r="AL3788" i="2"/>
  <c r="AL3716" i="2"/>
  <c r="AL3613" i="2"/>
  <c r="AL3548" i="2"/>
  <c r="AL3515" i="2"/>
  <c r="AL3158" i="2"/>
  <c r="AL3018" i="2"/>
  <c r="AL2968" i="2"/>
  <c r="AL2923" i="2"/>
  <c r="AL2722" i="2"/>
  <c r="AL4156" i="2"/>
  <c r="AL4131" i="2"/>
  <c r="AL4105" i="2"/>
  <c r="AL4046" i="2"/>
  <c r="AL3760" i="2"/>
  <c r="AL3517" i="2"/>
  <c r="AL3254" i="2"/>
  <c r="AL2751" i="2"/>
  <c r="AL2544" i="2"/>
  <c r="AL3832" i="2"/>
  <c r="AL3552" i="2"/>
  <c r="AL3521" i="2"/>
  <c r="AL3468" i="2"/>
  <c r="AL3464" i="2"/>
  <c r="AL2159" i="2"/>
  <c r="AL4162" i="2"/>
  <c r="AL3925" i="2"/>
  <c r="AL3610" i="2"/>
  <c r="AL3532" i="2"/>
  <c r="AL3493" i="2"/>
  <c r="AL3320" i="2"/>
  <c r="AL3284" i="2"/>
  <c r="AL2767" i="2"/>
  <c r="AL2606" i="2"/>
  <c r="AL2066" i="2"/>
  <c r="AL2557" i="2"/>
  <c r="AL2545" i="2"/>
  <c r="AL2379" i="2"/>
  <c r="AL2184" i="2"/>
  <c r="AL2414" i="2"/>
  <c r="AL1544" i="2"/>
  <c r="AL2571" i="2"/>
  <c r="AL2416" i="2"/>
  <c r="AL2383" i="2"/>
  <c r="AL2263" i="2"/>
  <c r="AL1649" i="2"/>
  <c r="AL2608" i="2"/>
  <c r="AL2432" i="2"/>
  <c r="AL2199" i="2"/>
  <c r="AL2004" i="2"/>
  <c r="AL1590" i="2"/>
  <c r="AL2448" i="2"/>
  <c r="AL2216" i="2"/>
  <c r="AL2015" i="2"/>
  <c r="AL1883" i="2"/>
  <c r="AL1486" i="2"/>
  <c r="AL2522" i="2"/>
  <c r="AL2151" i="2"/>
  <c r="AL2705" i="2"/>
  <c r="AL2679" i="2"/>
  <c r="AL2622" i="2"/>
  <c r="AL2605" i="2"/>
  <c r="AL2568" i="2"/>
  <c r="AL2482" i="2"/>
  <c r="AL2398" i="2"/>
  <c r="AL2320" i="2"/>
  <c r="AL2282" i="2"/>
  <c r="AL2175" i="2"/>
  <c r="AL2149" i="2"/>
  <c r="AL2799" i="2"/>
  <c r="AL2673" i="2"/>
  <c r="AL2542" i="2"/>
  <c r="AL2303" i="2"/>
  <c r="AL2295" i="2"/>
  <c r="AL1411" i="2"/>
  <c r="AL2663" i="2"/>
  <c r="AL2468" i="2"/>
  <c r="AL2357" i="2"/>
  <c r="AL1776" i="2"/>
  <c r="AL1183" i="2"/>
  <c r="AL2406" i="2"/>
  <c r="AL2390" i="2"/>
  <c r="AL2224" i="2"/>
  <c r="AL2124" i="2"/>
  <c r="AL1789" i="2"/>
  <c r="AL24" i="2"/>
  <c r="AL1308" i="2"/>
  <c r="AL950" i="2"/>
  <c r="AL163" i="2"/>
  <c r="AL1356" i="2"/>
  <c r="AL1455" i="2"/>
  <c r="AL1135" i="2"/>
  <c r="AL13" i="2"/>
  <c r="AM13" i="2" s="1"/>
  <c r="AL1111" i="2"/>
  <c r="AL925" i="2"/>
  <c r="AL1001" i="2"/>
  <c r="AL25" i="2"/>
  <c r="AL9" i="2"/>
  <c r="AM9" i="2" s="1"/>
  <c r="AL33" i="2"/>
  <c r="AM33" i="2" s="1"/>
  <c r="AL29" i="2"/>
  <c r="AM29" i="2" s="1"/>
  <c r="AL17" i="2"/>
  <c r="AL10" i="2"/>
  <c r="AL6" i="2"/>
  <c r="AM6" i="2" s="1"/>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<sst xmlns="http://schemas.openxmlformats.org/spreadsheetml/2006/main" count="147" uniqueCount="119">
  <si>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</si>
  <si>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</si>
  <si>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</si>
  <si>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</si>
  <si>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</si>
  <si>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</si>
  <si>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</si>
  <si>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</si>
  <si>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</si>
  <si>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</si>
  <si>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</si>
  <si>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</si>
  <si>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</si>
  <si>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</si>
  <si>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</si>
  <si>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</si>
  <si>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</si>
  <si>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</si>
  <si>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</si>
  <si>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</si>
  <si>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</si>
  <si>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</si>
  <si>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</si>
  <si>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</si>
  <si>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</si>
  <si>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</si>
  <si>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</si>
  <si>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</si>
  <si>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</si>
  <si>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</si>
  <si>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</si>
  <si>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</si>
  <si>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</si>
  <si>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</si>
  <si>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</si>
  <si>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</si>
  <si>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</si>
  <si>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</si>
  <si>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</si>
  <si>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</si>
  <si>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</si>
  <si>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</si>
  <si>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</si>
  <si>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</si>
  <si>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</si>
  <si>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</si>
  <si>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</si>
  <si>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</si>
  <si>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</si>
  <si>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</si>
  <si>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</si>
  <si>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</si>
  <si>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</si>
  <si>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</si>
  <si>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</si>
  <si>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</si>
  <si>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</si>
  <si>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</si>
  <si>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</si>
  <si>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</si>
  <si>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</si>
  <si>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</si>
  <si>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</si>
  <si>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</si>
  <si>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</si>
  <si>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</si>
  <si>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</si>
  <si>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</si>
  <si>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</si>
  <si>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</si>
  <si>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</si>
  <si>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</si>
  <si>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</si>
  <si>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</si>
  <si>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</si>
  <si>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</si>
  <si>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</si>
  <si>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</si>
  <si>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</si>
  <si>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</si>
  <si>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</si>
  <si>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</si>
  <si>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</si>
  <si>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</si>
  <si>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</si>
  <si>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</si>
  <si>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</si>
  <si>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</si>
  <si>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</si>
  <si>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</si>
  <si>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</si>
  <si>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</si>
  <si>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Deep Creek</t>
  </si>
  <si>
    <t>Highway 16</t>
  </si>
  <si>
    <t>KP</t>
  </si>
  <si>
    <t>Waterfall Creek</t>
  </si>
  <si>
    <t>Unnamed</t>
  </si>
  <si>
    <t>AI</t>
  </si>
  <si>
    <t>Corya Creek</t>
  </si>
  <si>
    <t>Tributary to Thompson Creek</t>
  </si>
  <si>
    <t>Open Bottom Structure</t>
  </si>
  <si>
    <t>Bridge</t>
  </si>
  <si>
    <t>Bridge. 17:50</t>
  </si>
  <si>
    <t>Closed Bottom Structure</t>
  </si>
  <si>
    <t>Oval Culvert</t>
  </si>
  <si>
    <t>Yes</t>
  </si>
  <si>
    <t>No</t>
  </si>
  <si>
    <t>Deep Fill</t>
  </si>
  <si>
    <t>High</t>
  </si>
  <si>
    <t>Fish sighted, looks passable. 9:43</t>
  </si>
  <si>
    <t>Round Culvert</t>
  </si>
  <si>
    <t>Low</t>
  </si>
  <si>
    <t>Medium</t>
  </si>
  <si>
    <t>Water depth at inlet 0.3, at outlet 0.4. Upstream does not have well developed channel, more of a dispersed wetland mixed with heavy vegetation and forest cover. Not a lot of obvious open water. 15:39</t>
  </si>
  <si>
    <t>Main flow of Thompson at Wescott is from tributary with bridge. This stream drains Fishpan Lake but has low habitat value compared to downstream below tributary. 17:17</t>
  </si>
  <si>
    <t>New Hazelton Unclassified</t>
  </si>
  <si>
    <t>Unclassified</t>
  </si>
  <si>
    <t>MoTi</t>
  </si>
  <si>
    <t>Replace Structure with Streambed Simulation CBS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</si>
</sst>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2">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G12" sqref="G12"/>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x14ac:dyDescent="0.25">
      <c r="A5" s="117">
        <v>44451</v>
      </c>
      <c r="B5" s="112">
        <v>195289</v>
      </c>
      <c r="C5" s="116"/>
      <c r="D5" s="116" t="s">
        <v>94</v>
      </c>
      <c r="E5" s="77">
        <v>9</v>
      </c>
      <c r="F5" s="53">
        <v>639862.43740992097</v>
      </c>
      <c r="G5" s="51">
        <v>6051752.4646249199</v>
      </c>
      <c r="H5" s="77" t="s">
        <v>92</v>
      </c>
      <c r="I5" s="77" t="s">
        <v>93</v>
      </c>
      <c r="J5" s="104"/>
      <c r="K5" s="77" t="s">
        <v>117</v>
      </c>
      <c r="L5" s="116" t="s">
        <v>103</v>
      </c>
      <c r="M5" s="116" t="s">
        <v>104</v>
      </c>
      <c r="N5" s="109">
        <v>4</v>
      </c>
      <c r="O5" s="109">
        <v>16</v>
      </c>
      <c r="P5" s="116" t="s">
        <v>105</v>
      </c>
      <c r="Q5" s="116">
        <v>7.4999999999999997E-2</v>
      </c>
      <c r="R5" s="116" t="s">
        <v>105</v>
      </c>
      <c r="S5" s="116" t="s">
        <v>105</v>
      </c>
      <c r="T5" s="116">
        <v>100</v>
      </c>
      <c r="U5" s="116">
        <v>1.5</v>
      </c>
      <c r="V5" s="116"/>
      <c r="W5" s="116"/>
      <c r="X5" s="116" t="s">
        <v>106</v>
      </c>
      <c r="Y5" s="116">
        <v>0.5</v>
      </c>
      <c r="Z5" s="116">
        <v>7.03</v>
      </c>
      <c r="AA5" s="116">
        <v>0.5</v>
      </c>
      <c r="AB5" s="115" t="s">
        <v>106</v>
      </c>
      <c r="AC5" s="115" t="s">
        <v>105</v>
      </c>
      <c r="AD5" s="116" t="s">
        <v>107</v>
      </c>
      <c r="AE5" s="116" t="s">
        <v>108</v>
      </c>
      <c r="AF5" s="22">
        <f>IF(ISBLANK(Z5), 0, IF(ISBLANK(N5) &lt; 0, 0,Z5 / N5))</f>
        <v>1.7575000000000001</v>
      </c>
      <c r="AG5" s="15">
        <f>IF(O5&lt;15,0,IF(AND(O5&gt;=15,O5&lt;30),3,IF(O5&gt;=30,6,0)))</f>
        <v>3</v>
      </c>
      <c r="AH5" s="7">
        <f>IF(P5 = "No", 10, IF(ISBLANK(N5), 0, IF(ISBLANK(Q5), 0, IF(OR(Q5 / N5 &lt;= 0.2, Q5 &lt; 0.3), 5, IF(OR(Q5 / N5 &gt;= 0.2, Q5 &gt;= 0.3), 0)))))</f>
        <v>5</v>
      </c>
      <c r="AI5" s="7">
        <f>IF(V5&lt;0.15,0,IF(AND(V5&gt;=0.15,V5&lt;0.3),5,IF(V5&gt;=0.3,10,0)))</f>
        <v>0</v>
      </c>
      <c r="AJ5" s="7">
        <f>IF(Y5&lt;1,0,IF(AND(Y5&gt;=1,Y5&lt;3),5,IF(Y5&gt;=3,10,0)))</f>
        <v>0</v>
      </c>
      <c r="AK5" s="12">
        <f>IF(AF5&lt;1,0,IF(AND(AF5&gt;=1,AF5&lt;1.3),3,IF(AF5&gt;=1.3,6,0)))</f>
        <v>6</v>
      </c>
      <c r="AL5" s="14">
        <f>AG5 + AH5 + AI5 + AJ5 + AK5</f>
        <v>14</v>
      </c>
      <c r="AM5" s="16" t="str">
        <f>IF(ISBLANK(L5), "", IF(L5 = "Open Bottom Structure", "Passable", IF(L5 = "Other", "Unknown", IF(AL5 &lt; 15, "Passable", IF(AND(AL5 &gt;= 15,AL5 &lt;= 19), "Potential", IF(AL5 &gt; 19, "Barrier", ""))))))</f>
        <v>Passable</v>
      </c>
      <c r="AN5" s="121"/>
      <c r="AO5" s="121"/>
      <c r="AP5" s="103" t="s">
        <v>109</v>
      </c>
    </row>
    <row r="6" spans="1:42" s="13" customFormat="1" x14ac:dyDescent="0.25">
      <c r="A6" s="117">
        <v>44455</v>
      </c>
      <c r="B6" s="112">
        <v>124456</v>
      </c>
      <c r="C6" s="116"/>
      <c r="D6" s="116" t="s">
        <v>94</v>
      </c>
      <c r="E6" s="77">
        <v>9</v>
      </c>
      <c r="F6" s="78">
        <v>589615.04121538706</v>
      </c>
      <c r="G6" s="79">
        <v>6122516.1767658098</v>
      </c>
      <c r="H6" s="116" t="s">
        <v>95</v>
      </c>
      <c r="I6" s="77" t="s">
        <v>96</v>
      </c>
      <c r="J6" s="104"/>
      <c r="K6" s="116" t="s">
        <v>115</v>
      </c>
      <c r="L6" s="116" t="s">
        <v>103</v>
      </c>
      <c r="M6" s="116" t="s">
        <v>110</v>
      </c>
      <c r="N6" s="109">
        <v>1.3</v>
      </c>
      <c r="O6" s="109">
        <v>8</v>
      </c>
      <c r="P6" s="116" t="s">
        <v>105</v>
      </c>
      <c r="Q6" s="116">
        <v>0.3</v>
      </c>
      <c r="R6" s="116" t="s">
        <v>105</v>
      </c>
      <c r="S6" s="116" t="s">
        <v>105</v>
      </c>
      <c r="T6" s="116">
        <v>100</v>
      </c>
      <c r="U6" s="116">
        <v>0.5</v>
      </c>
      <c r="V6" s="116"/>
      <c r="W6" s="116"/>
      <c r="X6" s="116" t="s">
        <v>106</v>
      </c>
      <c r="Y6" s="116">
        <v>0.5</v>
      </c>
      <c r="Z6" s="116">
        <v>1.3</v>
      </c>
      <c r="AA6" s="116">
        <v>0.5</v>
      </c>
      <c r="AB6" s="115" t="s">
        <v>106</v>
      </c>
      <c r="AC6" s="115" t="s">
        <v>106</v>
      </c>
      <c r="AD6" s="116" t="s">
        <v>107</v>
      </c>
      <c r="AE6" s="116" t="s">
        <v>112</v>
      </c>
      <c r="AF6" s="22">
        <f t="shared" ref="AF6:AF11" si="0">IF(ISBLANK(Z6), 0, IF(ISBLANK(N6) &lt; 0, 0,Z6 / N6))</f>
        <v>1</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3</v>
      </c>
      <c r="AL6" s="14">
        <f t="shared" ref="AL6:AL11" si="6">AG6 + AH6 + AI6 + AJ6 + AK6</f>
        <v>3</v>
      </c>
      <c r="AM6" s="16" t="str">
        <f t="shared" ref="AM6:AM67" si="7">IF(ISBLANK(L6), "", IF(L6 = "Open Bottom Structure", "Passable", IF(L6 = "Other", "Unknown", IF(AL6 &lt; 15, "Passable", IF(AND(AL6 &gt;= 15,AL6 &lt;= 19), "Potential", IF(AL6 &gt; 19, "Barrier", ""))))))</f>
        <v>Passable</v>
      </c>
      <c r="AN6" s="121"/>
      <c r="AO6" s="121"/>
      <c r="AP6" s="103" t="s">
        <v>113</v>
      </c>
    </row>
    <row r="7" spans="1:42" s="13" customFormat="1" x14ac:dyDescent="0.25">
      <c r="A7" s="117">
        <v>44444</v>
      </c>
      <c r="B7" s="112">
        <v>123776</v>
      </c>
      <c r="C7" s="116"/>
      <c r="D7" s="116" t="s">
        <v>97</v>
      </c>
      <c r="E7" s="77">
        <v>9</v>
      </c>
      <c r="F7" s="78">
        <v>606419</v>
      </c>
      <c r="G7" s="79">
        <v>6100145</v>
      </c>
      <c r="H7" s="116" t="s">
        <v>98</v>
      </c>
      <c r="I7" s="77" t="s">
        <v>93</v>
      </c>
      <c r="J7" s="104"/>
      <c r="K7" s="116" t="s">
        <v>116</v>
      </c>
      <c r="L7" s="116" t="s">
        <v>100</v>
      </c>
      <c r="M7" s="116" t="s">
        <v>101</v>
      </c>
      <c r="N7" s="114">
        <v>23</v>
      </c>
      <c r="O7" s="114">
        <v>11</v>
      </c>
      <c r="P7" s="121"/>
      <c r="Q7" s="121"/>
      <c r="R7" s="121"/>
      <c r="S7" s="121"/>
      <c r="T7" s="121"/>
      <c r="U7" s="121"/>
      <c r="V7" s="121"/>
      <c r="W7" s="121"/>
      <c r="X7" s="121"/>
      <c r="Y7" s="121"/>
      <c r="Z7" s="121"/>
      <c r="AA7" s="121"/>
      <c r="AB7" s="115"/>
      <c r="AC7" s="115"/>
      <c r="AD7" s="121"/>
      <c r="AE7" s="121"/>
      <c r="AF7" s="22">
        <f t="shared" si="0"/>
        <v>0</v>
      </c>
      <c r="AG7" s="15">
        <f t="shared" si="1"/>
        <v>0</v>
      </c>
      <c r="AH7" s="7">
        <f t="shared" si="2"/>
        <v>0</v>
      </c>
      <c r="AI7" s="7">
        <f t="shared" si="3"/>
        <v>0</v>
      </c>
      <c r="AJ7" s="7">
        <f t="shared" si="4"/>
        <v>0</v>
      </c>
      <c r="AK7" s="12">
        <f t="shared" si="5"/>
        <v>0</v>
      </c>
      <c r="AL7" s="14">
        <f t="shared" si="6"/>
        <v>0</v>
      </c>
      <c r="AM7" s="16" t="str">
        <f t="shared" si="7"/>
        <v>Passable</v>
      </c>
      <c r="AN7" s="121"/>
      <c r="AO7" s="121"/>
      <c r="AP7" s="116" t="s">
        <v>102</v>
      </c>
    </row>
    <row r="8" spans="1:42" s="13" customFormat="1" x14ac:dyDescent="0.25">
      <c r="A8" s="117">
        <v>44444</v>
      </c>
      <c r="B8" s="110">
        <v>123375</v>
      </c>
      <c r="C8" s="116"/>
      <c r="D8" s="116" t="s">
        <v>97</v>
      </c>
      <c r="E8" s="77">
        <v>9</v>
      </c>
      <c r="F8" s="78">
        <v>642497</v>
      </c>
      <c r="G8" s="79">
        <v>6048191</v>
      </c>
      <c r="H8" s="116" t="s">
        <v>99</v>
      </c>
      <c r="I8" s="77" t="s">
        <v>93</v>
      </c>
      <c r="J8" s="105"/>
      <c r="K8" s="77" t="s">
        <v>117</v>
      </c>
      <c r="L8" s="116" t="s">
        <v>103</v>
      </c>
      <c r="M8" s="116" t="s">
        <v>110</v>
      </c>
      <c r="N8" s="114">
        <v>0.5</v>
      </c>
      <c r="O8" s="114">
        <v>29</v>
      </c>
      <c r="P8" s="116" t="s">
        <v>106</v>
      </c>
      <c r="Q8" s="121"/>
      <c r="R8" s="116" t="s">
        <v>106</v>
      </c>
      <c r="S8" s="116" t="s">
        <v>105</v>
      </c>
      <c r="T8" s="116">
        <v>50</v>
      </c>
      <c r="U8" s="116">
        <v>2.5</v>
      </c>
      <c r="V8" s="116">
        <v>0</v>
      </c>
      <c r="W8" s="116"/>
      <c r="X8" s="116" t="s">
        <v>106</v>
      </c>
      <c r="Y8" s="116">
        <v>2</v>
      </c>
      <c r="Z8" s="116">
        <v>1</v>
      </c>
      <c r="AA8" s="116">
        <v>0.5</v>
      </c>
      <c r="AB8" s="115" t="s">
        <v>106</v>
      </c>
      <c r="AC8" s="115" t="s">
        <v>106</v>
      </c>
      <c r="AD8" s="116" t="s">
        <v>107</v>
      </c>
      <c r="AE8" s="116" t="s">
        <v>111</v>
      </c>
      <c r="AF8" s="22">
        <f t="shared" si="0"/>
        <v>2</v>
      </c>
      <c r="AG8" s="15">
        <f t="shared" si="1"/>
        <v>3</v>
      </c>
      <c r="AH8" s="7">
        <f t="shared" si="2"/>
        <v>10</v>
      </c>
      <c r="AI8" s="7">
        <f t="shared" si="3"/>
        <v>0</v>
      </c>
      <c r="AJ8" s="7">
        <f t="shared" si="4"/>
        <v>5</v>
      </c>
      <c r="AK8" s="12">
        <f t="shared" si="5"/>
        <v>6</v>
      </c>
      <c r="AL8" s="14">
        <f t="shared" si="6"/>
        <v>24</v>
      </c>
      <c r="AM8" s="16" t="str">
        <f t="shared" si="7"/>
        <v>Barrier</v>
      </c>
      <c r="AN8" s="116" t="s">
        <v>118</v>
      </c>
      <c r="AO8" s="116">
        <v>3</v>
      </c>
      <c r="AP8" s="116" t="s">
        <v>114</v>
      </c>
    </row>
    <row r="9" spans="1:42" x14ac:dyDescent="0.25">
      <c r="A9" s="117"/>
      <c r="B9" s="111"/>
      <c r="C9" s="116"/>
      <c r="D9" s="116"/>
      <c r="E9" s="77"/>
      <c r="F9" s="78"/>
      <c r="G9" s="79"/>
      <c r="H9" s="103"/>
      <c r="I9" s="77"/>
      <c r="J9" s="104"/>
      <c r="K9" s="108"/>
      <c r="L9" s="116"/>
      <c r="M9" s="115"/>
      <c r="N9" s="113"/>
      <c r="O9" s="113"/>
      <c r="P9" s="116"/>
      <c r="Q9" s="116"/>
      <c r="R9" s="116"/>
      <c r="S9" s="116"/>
      <c r="T9" s="116"/>
      <c r="U9" s="116"/>
      <c r="V9" s="116"/>
      <c r="W9" s="116"/>
      <c r="X9" s="116"/>
      <c r="Y9" s="116"/>
      <c r="Z9" s="116"/>
      <c r="AA9" s="116"/>
      <c r="AB9" s="115"/>
      <c r="AC9" s="115"/>
      <c r="AD9" s="116"/>
      <c r="AE9" s="116"/>
      <c r="AF9" s="22">
        <f t="shared" si="0"/>
        <v>0</v>
      </c>
      <c r="AG9" s="15">
        <f t="shared" si="1"/>
        <v>0</v>
      </c>
      <c r="AH9" s="7">
        <f t="shared" si="2"/>
        <v>0</v>
      </c>
      <c r="AI9" s="7">
        <f t="shared" si="3"/>
        <v>0</v>
      </c>
      <c r="AJ9" s="7">
        <f t="shared" si="4"/>
        <v>0</v>
      </c>
      <c r="AK9" s="12">
        <f t="shared" si="5"/>
        <v>0</v>
      </c>
      <c r="AL9" s="14">
        <f t="shared" si="6"/>
        <v>0</v>
      </c>
      <c r="AM9" s="16" t="str">
        <f t="shared" si="7"/>
        <v/>
      </c>
      <c r="AN9" s="116"/>
      <c r="AO9" s="116"/>
      <c r="AP9" s="116"/>
    </row>
    <row r="10" spans="1:42" x14ac:dyDescent="0.25">
      <c r="A10" s="117"/>
      <c r="B10" s="111"/>
      <c r="C10" s="116"/>
      <c r="D10" s="116"/>
      <c r="E10" s="77"/>
      <c r="F10" s="78"/>
      <c r="G10" s="79"/>
      <c r="H10" s="103"/>
      <c r="I10" s="77"/>
      <c r="J10" s="104"/>
      <c r="K10" s="116"/>
      <c r="L10" s="116"/>
      <c r="M10" s="116"/>
      <c r="N10" s="114"/>
      <c r="O10" s="114"/>
      <c r="P10" s="116"/>
      <c r="Q10" s="114"/>
      <c r="R10" s="116"/>
      <c r="S10" s="116"/>
      <c r="T10" s="114"/>
      <c r="U10" s="114"/>
      <c r="V10" s="116"/>
      <c r="W10" s="114"/>
      <c r="X10" s="116"/>
      <c r="Y10" s="114"/>
      <c r="Z10" s="114"/>
      <c r="AA10" s="116"/>
      <c r="AB10" s="116"/>
      <c r="AC10" s="116"/>
      <c r="AD10" s="116"/>
      <c r="AE10" s="116"/>
      <c r="AF10" s="22">
        <f t="shared" si="0"/>
        <v>0</v>
      </c>
      <c r="AG10" s="15">
        <f t="shared" si="1"/>
        <v>0</v>
      </c>
      <c r="AH10" s="7">
        <f t="shared" si="2"/>
        <v>0</v>
      </c>
      <c r="AI10" s="7">
        <f t="shared" si="3"/>
        <v>0</v>
      </c>
      <c r="AJ10" s="7">
        <f t="shared" si="4"/>
        <v>0</v>
      </c>
      <c r="AK10" s="12">
        <f t="shared" si="5"/>
        <v>0</v>
      </c>
      <c r="AL10" s="14">
        <f t="shared" si="6"/>
        <v>0</v>
      </c>
      <c r="AM10" s="16" t="str">
        <f t="shared" si="7"/>
        <v/>
      </c>
      <c r="AN10" s="115"/>
      <c r="AO10" s="114"/>
      <c r="AP10" s="116"/>
    </row>
    <row r="11" spans="1:42" x14ac:dyDescent="0.25">
      <c r="A11" s="117"/>
      <c r="B11" s="111"/>
      <c r="C11" s="103"/>
      <c r="D11" s="115"/>
      <c r="E11" s="115"/>
      <c r="F11" s="107"/>
      <c r="G11" s="106"/>
      <c r="H11" s="103"/>
      <c r="I11" s="77"/>
      <c r="J11" s="104"/>
      <c r="K11" s="115"/>
      <c r="L11" s="116"/>
      <c r="M11" s="116"/>
      <c r="N11" s="113"/>
      <c r="O11" s="113"/>
      <c r="P11" s="115"/>
      <c r="Q11" s="113"/>
      <c r="R11" s="115"/>
      <c r="S11" s="115"/>
      <c r="T11" s="113"/>
      <c r="U11" s="113"/>
      <c r="V11" s="115"/>
      <c r="W11" s="113"/>
      <c r="X11" s="115"/>
      <c r="Y11" s="113"/>
      <c r="Z11" s="113"/>
      <c r="AA11" s="115"/>
      <c r="AB11" s="115"/>
      <c r="AC11" s="115"/>
      <c r="AD11" s="115"/>
      <c r="AE11" s="115"/>
      <c r="AF11" s="22">
        <f t="shared" si="0"/>
        <v>0</v>
      </c>
      <c r="AG11" s="15">
        <f t="shared" si="1"/>
        <v>0</v>
      </c>
      <c r="AH11" s="7">
        <f t="shared" si="2"/>
        <v>0</v>
      </c>
      <c r="AI11" s="7">
        <f t="shared" si="3"/>
        <v>0</v>
      </c>
      <c r="AJ11" s="7">
        <f>IF(Y11&lt;1,0,IF(AND(Y11&gt;=1,Y11&lt;3),5,IF(Y11&gt;=3,10,0)))</f>
        <v>0</v>
      </c>
      <c r="AK11" s="12">
        <f t="shared" si="5"/>
        <v>0</v>
      </c>
      <c r="AL11" s="14">
        <f t="shared" si="6"/>
        <v>0</v>
      </c>
      <c r="AM11" s="16" t="str">
        <f t="shared" si="7"/>
        <v/>
      </c>
      <c r="AN11" s="115"/>
      <c r="AO11" s="116"/>
      <c r="AP11" s="116"/>
    </row>
    <row r="12" spans="1:42" x14ac:dyDescent="0.25">
      <c r="A12" s="117"/>
      <c r="B12" s="73"/>
      <c r="C12" s="116"/>
      <c r="D12" s="116"/>
      <c r="E12" s="77"/>
      <c r="F12" s="78"/>
      <c r="G12" s="79"/>
      <c r="H12" s="77"/>
      <c r="I12" s="77"/>
      <c r="J12" s="42"/>
      <c r="K12" s="77"/>
      <c r="L12" s="116"/>
      <c r="M12" s="116"/>
      <c r="N12" s="114"/>
      <c r="O12" s="114"/>
      <c r="P12" s="116"/>
      <c r="Q12" s="116"/>
      <c r="R12" s="116"/>
      <c r="S12" s="116"/>
      <c r="T12" s="114"/>
      <c r="U12" s="114"/>
      <c r="V12" s="116"/>
      <c r="W12" s="114"/>
      <c r="X12" s="116"/>
      <c r="Y12" s="114"/>
      <c r="Z12" s="114"/>
      <c r="AA12" s="116"/>
      <c r="AB12" s="116"/>
      <c r="AC12" s="116"/>
      <c r="AD12" s="116"/>
      <c r="AE12" s="116"/>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
      </c>
      <c r="AN12" s="116"/>
      <c r="AO12" s="114"/>
      <c r="AP12" s="116"/>
    </row>
    <row r="13" spans="1:42" x14ac:dyDescent="0.25">
      <c r="A13" s="117"/>
      <c r="B13" s="76"/>
      <c r="C13" s="116"/>
      <c r="D13" s="116"/>
      <c r="E13" s="77"/>
      <c r="F13" s="78"/>
      <c r="G13" s="79"/>
      <c r="H13" s="77"/>
      <c r="I13" s="77"/>
      <c r="J13" s="80"/>
      <c r="K13" s="77"/>
      <c r="L13" s="116"/>
      <c r="M13" s="116"/>
      <c r="N13" s="114"/>
      <c r="O13" s="114"/>
      <c r="P13" s="116"/>
      <c r="Q13" s="116"/>
      <c r="R13" s="116"/>
      <c r="S13" s="116"/>
      <c r="T13" s="116"/>
      <c r="U13" s="114"/>
      <c r="V13" s="116"/>
      <c r="W13" s="114"/>
      <c r="X13" s="116"/>
      <c r="Y13" s="114"/>
      <c r="Z13" s="114"/>
      <c r="AA13" s="116"/>
      <c r="AB13" s="116"/>
      <c r="AC13" s="116"/>
      <c r="AD13" s="116"/>
      <c r="AE13" s="116"/>
      <c r="AF13" s="22">
        <f t="shared" si="8"/>
        <v>0</v>
      </c>
      <c r="AG13" s="15">
        <f t="shared" si="1"/>
        <v>0</v>
      </c>
      <c r="AH13" s="7">
        <f t="shared" si="2"/>
        <v>0</v>
      </c>
      <c r="AI13" s="7">
        <f t="shared" si="3"/>
        <v>0</v>
      </c>
      <c r="AJ13" s="7">
        <f t="shared" si="4"/>
        <v>0</v>
      </c>
      <c r="AK13" s="12">
        <f t="shared" si="5"/>
        <v>0</v>
      </c>
      <c r="AL13" s="14">
        <f t="shared" si="9"/>
        <v>0</v>
      </c>
      <c r="AM13" s="16" t="str">
        <f t="shared" si="7"/>
        <v/>
      </c>
      <c r="AN13" s="116"/>
      <c r="AO13" s="114"/>
      <c r="AP13" s="116"/>
    </row>
    <row r="14" spans="1:42" x14ac:dyDescent="0.25">
      <c r="A14" s="117"/>
      <c r="B14" s="76"/>
      <c r="C14" s="116"/>
      <c r="D14" s="116"/>
      <c r="E14" s="77"/>
      <c r="F14" s="78"/>
      <c r="G14" s="79"/>
      <c r="H14" s="77"/>
      <c r="I14" s="77"/>
      <c r="J14" s="80"/>
      <c r="K14" s="77"/>
      <c r="L14" s="116"/>
      <c r="M14" s="116"/>
      <c r="N14" s="114"/>
      <c r="O14" s="114"/>
      <c r="P14" s="116"/>
      <c r="Q14" s="116"/>
      <c r="R14" s="116"/>
      <c r="S14" s="116"/>
      <c r="T14" s="116"/>
      <c r="U14" s="114"/>
      <c r="V14" s="116"/>
      <c r="W14" s="114"/>
      <c r="X14" s="116"/>
      <c r="Y14" s="114"/>
      <c r="Z14" s="114"/>
      <c r="AA14" s="116"/>
      <c r="AB14" s="116"/>
      <c r="AC14" s="116"/>
      <c r="AD14" s="116"/>
      <c r="AE14" s="116"/>
      <c r="AF14" s="22">
        <f t="shared" si="8"/>
        <v>0</v>
      </c>
      <c r="AG14" s="15">
        <f t="shared" si="1"/>
        <v>0</v>
      </c>
      <c r="AH14" s="7">
        <f t="shared" si="2"/>
        <v>0</v>
      </c>
      <c r="AI14" s="7">
        <f t="shared" si="3"/>
        <v>0</v>
      </c>
      <c r="AJ14" s="7">
        <f t="shared" si="4"/>
        <v>0</v>
      </c>
      <c r="AK14" s="12">
        <f t="shared" si="5"/>
        <v>0</v>
      </c>
      <c r="AL14" s="14">
        <f t="shared" si="9"/>
        <v>0</v>
      </c>
      <c r="AM14" s="16" t="str">
        <f t="shared" si="7"/>
        <v/>
      </c>
      <c r="AN14" s="116"/>
      <c r="AO14" s="114"/>
      <c r="AP14" s="116"/>
    </row>
    <row r="15" spans="1:42" x14ac:dyDescent="0.25">
      <c r="A15" s="117"/>
      <c r="B15" s="76"/>
      <c r="C15" s="116"/>
      <c r="D15" s="116"/>
      <c r="E15" s="77"/>
      <c r="F15" s="78"/>
      <c r="G15" s="79"/>
      <c r="H15" s="77"/>
      <c r="I15" s="77"/>
      <c r="J15" s="80"/>
      <c r="K15" s="77"/>
      <c r="L15" s="116"/>
      <c r="M15" s="116"/>
      <c r="N15" s="114"/>
      <c r="O15" s="114"/>
      <c r="P15" s="116"/>
      <c r="Q15" s="116"/>
      <c r="R15" s="116"/>
      <c r="S15" s="116"/>
      <c r="T15" s="114"/>
      <c r="U15" s="114"/>
      <c r="V15" s="116"/>
      <c r="W15" s="114"/>
      <c r="X15" s="116"/>
      <c r="Y15" s="114"/>
      <c r="Z15" s="114"/>
      <c r="AA15" s="116"/>
      <c r="AB15" s="25"/>
      <c r="AC15" s="25"/>
      <c r="AD15" s="116"/>
      <c r="AE15" s="116"/>
      <c r="AF15" s="22">
        <f t="shared" si="8"/>
        <v>0</v>
      </c>
      <c r="AG15" s="15">
        <f t="shared" si="1"/>
        <v>0</v>
      </c>
      <c r="AH15" s="7">
        <f t="shared" si="2"/>
        <v>0</v>
      </c>
      <c r="AI15" s="7">
        <f t="shared" si="3"/>
        <v>0</v>
      </c>
      <c r="AJ15" s="7">
        <f t="shared" si="4"/>
        <v>0</v>
      </c>
      <c r="AK15" s="12">
        <f t="shared" si="5"/>
        <v>0</v>
      </c>
      <c r="AL15" s="14">
        <f t="shared" si="9"/>
        <v>0</v>
      </c>
      <c r="AM15" s="16" t="str">
        <f t="shared" si="7"/>
        <v/>
      </c>
      <c r="AN15" s="116"/>
      <c r="AO15" s="114"/>
      <c r="AP15" s="116"/>
    </row>
    <row r="16" spans="1:42" x14ac:dyDescent="0.25">
      <c r="A16" s="117"/>
      <c r="B16" s="76"/>
      <c r="C16" s="116"/>
      <c r="D16" s="116"/>
      <c r="E16" s="77"/>
      <c r="F16" s="78"/>
      <c r="G16" s="79"/>
      <c r="H16" s="77"/>
      <c r="I16" s="77"/>
      <c r="J16" s="80"/>
      <c r="K16" s="77"/>
      <c r="L16" s="116"/>
      <c r="M16" s="116"/>
      <c r="N16" s="114"/>
      <c r="O16" s="114"/>
      <c r="P16" s="116"/>
      <c r="Q16" s="116"/>
      <c r="R16" s="116"/>
      <c r="S16" s="116"/>
      <c r="T16" s="114"/>
      <c r="U16" s="114"/>
      <c r="V16" s="116"/>
      <c r="W16" s="114"/>
      <c r="X16" s="116"/>
      <c r="Y16" s="114"/>
      <c r="Z16" s="114"/>
      <c r="AA16" s="116"/>
      <c r="AB16" s="25"/>
      <c r="AC16" s="25"/>
      <c r="AD16" s="116"/>
      <c r="AE16" s="116"/>
      <c r="AF16" s="22">
        <f t="shared" si="8"/>
        <v>0</v>
      </c>
      <c r="AG16" s="15">
        <f t="shared" si="1"/>
        <v>0</v>
      </c>
      <c r="AH16" s="7">
        <f t="shared" si="2"/>
        <v>0</v>
      </c>
      <c r="AI16" s="7">
        <f t="shared" si="3"/>
        <v>0</v>
      </c>
      <c r="AJ16" s="7">
        <f t="shared" si="4"/>
        <v>0</v>
      </c>
      <c r="AK16" s="12">
        <f t="shared" si="5"/>
        <v>0</v>
      </c>
      <c r="AL16" s="14">
        <f t="shared" si="9"/>
        <v>0</v>
      </c>
      <c r="AM16" s="16" t="str">
        <f t="shared" si="7"/>
        <v/>
      </c>
      <c r="AN16" s="116"/>
      <c r="AO16" s="114"/>
      <c r="AP16" s="116"/>
    </row>
    <row r="17" spans="1:42" x14ac:dyDescent="0.25">
      <c r="A17" s="117"/>
      <c r="B17" s="76"/>
      <c r="C17" s="116"/>
      <c r="D17" s="116"/>
      <c r="E17" s="77"/>
      <c r="F17" s="78"/>
      <c r="G17" s="79"/>
      <c r="H17" s="77"/>
      <c r="I17" s="77"/>
      <c r="J17" s="80"/>
      <c r="K17" s="77"/>
      <c r="L17" s="116"/>
      <c r="M17" s="116"/>
      <c r="N17" s="114"/>
      <c r="O17" s="114"/>
      <c r="P17" s="116"/>
      <c r="Q17" s="114"/>
      <c r="R17" s="116"/>
      <c r="S17" s="116"/>
      <c r="T17" s="116"/>
      <c r="U17" s="114"/>
      <c r="V17" s="116"/>
      <c r="W17" s="114"/>
      <c r="X17" s="116"/>
      <c r="Y17" s="114"/>
      <c r="Z17" s="114"/>
      <c r="AA17" s="116"/>
      <c r="AB17" s="25"/>
      <c r="AC17" s="25"/>
      <c r="AD17" s="116"/>
      <c r="AE17" s="116"/>
      <c r="AF17" s="22">
        <f t="shared" si="8"/>
        <v>0</v>
      </c>
      <c r="AG17" s="15">
        <f t="shared" si="1"/>
        <v>0</v>
      </c>
      <c r="AH17" s="7">
        <f t="shared" si="2"/>
        <v>0</v>
      </c>
      <c r="AI17" s="7">
        <f t="shared" si="3"/>
        <v>0</v>
      </c>
      <c r="AJ17" s="7">
        <f t="shared" si="4"/>
        <v>0</v>
      </c>
      <c r="AK17" s="12">
        <f t="shared" si="5"/>
        <v>0</v>
      </c>
      <c r="AL17" s="14">
        <f t="shared" si="9"/>
        <v>0</v>
      </c>
      <c r="AM17" s="16" t="str">
        <f t="shared" si="7"/>
        <v/>
      </c>
      <c r="AN17" s="116"/>
      <c r="AO17" s="114"/>
      <c r="AP17" s="116"/>
    </row>
    <row r="18" spans="1:42" x14ac:dyDescent="0.25">
      <c r="A18" s="117"/>
      <c r="B18" s="76"/>
      <c r="C18" s="116"/>
      <c r="D18" s="116"/>
      <c r="E18" s="77"/>
      <c r="F18" s="78"/>
      <c r="G18" s="79"/>
      <c r="H18" s="77"/>
      <c r="I18" s="77"/>
      <c r="J18" s="80"/>
      <c r="K18" s="77"/>
      <c r="L18" s="116"/>
      <c r="M18" s="116"/>
      <c r="N18" s="114"/>
      <c r="O18" s="114"/>
      <c r="P18" s="116"/>
      <c r="Q18" s="116"/>
      <c r="R18" s="116"/>
      <c r="S18" s="116"/>
      <c r="T18" s="114"/>
      <c r="U18" s="114"/>
      <c r="V18" s="116"/>
      <c r="W18" s="114"/>
      <c r="X18" s="116"/>
      <c r="Y18" s="114"/>
      <c r="Z18" s="114"/>
      <c r="AA18" s="116"/>
      <c r="AB18" s="25"/>
      <c r="AC18" s="25"/>
      <c r="AD18" s="116"/>
      <c r="AE18" s="116"/>
      <c r="AF18" s="22">
        <f t="shared" si="8"/>
        <v>0</v>
      </c>
      <c r="AG18" s="15">
        <f t="shared" si="1"/>
        <v>0</v>
      </c>
      <c r="AH18" s="7">
        <f t="shared" si="2"/>
        <v>0</v>
      </c>
      <c r="AI18" s="7">
        <f t="shared" si="3"/>
        <v>0</v>
      </c>
      <c r="AJ18" s="7">
        <f t="shared" si="4"/>
        <v>0</v>
      </c>
      <c r="AK18" s="12">
        <f t="shared" si="5"/>
        <v>0</v>
      </c>
      <c r="AL18" s="14">
        <f t="shared" si="9"/>
        <v>0</v>
      </c>
      <c r="AM18" s="16" t="str">
        <f t="shared" si="7"/>
        <v/>
      </c>
      <c r="AN18" s="116"/>
      <c r="AO18" s="114"/>
      <c r="AP18" s="116"/>
    </row>
    <row r="19" spans="1:42" x14ac:dyDescent="0.25">
      <c r="A19" s="117"/>
      <c r="B19" s="76"/>
      <c r="C19" s="116"/>
      <c r="D19" s="116"/>
      <c r="E19" s="77"/>
      <c r="F19" s="78"/>
      <c r="G19" s="79"/>
      <c r="H19" s="77"/>
      <c r="I19" s="77"/>
      <c r="J19" s="42"/>
      <c r="K19" s="77"/>
      <c r="L19" s="116"/>
      <c r="M19" s="116"/>
      <c r="N19" s="114"/>
      <c r="O19" s="114"/>
      <c r="P19" s="116"/>
      <c r="Q19" s="116"/>
      <c r="R19" s="116"/>
      <c r="S19" s="116"/>
      <c r="T19" s="114"/>
      <c r="U19" s="114"/>
      <c r="V19" s="116"/>
      <c r="W19" s="114"/>
      <c r="X19" s="116"/>
      <c r="Y19" s="114"/>
      <c r="Z19" s="114"/>
      <c r="AA19" s="116"/>
      <c r="AB19" s="25"/>
      <c r="AC19" s="25"/>
      <c r="AD19" s="116"/>
      <c r="AE19" s="116"/>
      <c r="AF19" s="22">
        <f t="shared" si="8"/>
        <v>0</v>
      </c>
      <c r="AG19" s="15">
        <f t="shared" si="1"/>
        <v>0</v>
      </c>
      <c r="AH19" s="7">
        <f t="shared" si="2"/>
        <v>0</v>
      </c>
      <c r="AI19" s="7">
        <f t="shared" si="3"/>
        <v>0</v>
      </c>
      <c r="AJ19" s="7">
        <f t="shared" si="4"/>
        <v>0</v>
      </c>
      <c r="AK19" s="12">
        <f t="shared" si="5"/>
        <v>0</v>
      </c>
      <c r="AL19" s="14">
        <f t="shared" si="9"/>
        <v>0</v>
      </c>
      <c r="AM19" s="16" t="str">
        <f t="shared" si="7"/>
        <v/>
      </c>
      <c r="AN19" s="116"/>
      <c r="AO19" s="114"/>
      <c r="AP19" s="116"/>
    </row>
    <row r="20" spans="1:42" x14ac:dyDescent="0.25">
      <c r="A20" s="117"/>
      <c r="B20" s="76"/>
      <c r="C20" s="116"/>
      <c r="D20" s="116"/>
      <c r="E20" s="77"/>
      <c r="F20" s="78"/>
      <c r="G20" s="79"/>
      <c r="H20" s="116"/>
      <c r="I20" s="77"/>
      <c r="J20" s="42"/>
      <c r="K20" s="77"/>
      <c r="L20" s="116"/>
      <c r="M20" s="116"/>
      <c r="N20" s="114"/>
      <c r="O20" s="114"/>
      <c r="P20" s="116"/>
      <c r="Q20" s="116"/>
      <c r="R20" s="116"/>
      <c r="S20" s="116"/>
      <c r="T20" s="116"/>
      <c r="U20" s="116"/>
      <c r="V20" s="116"/>
      <c r="W20" s="116"/>
      <c r="X20" s="116"/>
      <c r="Y20" s="116"/>
      <c r="Z20" s="116"/>
      <c r="AA20" s="116"/>
      <c r="AB20" s="25"/>
      <c r="AC20" s="25"/>
      <c r="AD20" s="116"/>
      <c r="AE20" s="116"/>
      <c r="AF20" s="22">
        <f t="shared" si="8"/>
        <v>0</v>
      </c>
      <c r="AG20" s="15">
        <f t="shared" si="1"/>
        <v>0</v>
      </c>
      <c r="AH20" s="7">
        <f t="shared" si="2"/>
        <v>0</v>
      </c>
      <c r="AI20" s="7">
        <f t="shared" si="3"/>
        <v>0</v>
      </c>
      <c r="AJ20" s="7">
        <f t="shared" si="4"/>
        <v>0</v>
      </c>
      <c r="AK20" s="12">
        <f t="shared" si="5"/>
        <v>0</v>
      </c>
      <c r="AL20" s="14">
        <f t="shared" si="9"/>
        <v>0</v>
      </c>
      <c r="AM20" s="16" t="str">
        <f t="shared" si="7"/>
        <v/>
      </c>
      <c r="AN20" s="116"/>
      <c r="AO20" s="116"/>
      <c r="AP20" s="116"/>
    </row>
    <row r="21" spans="1:42" x14ac:dyDescent="0.25">
      <c r="A21" s="117"/>
      <c r="B21" s="76"/>
      <c r="C21" s="116"/>
      <c r="D21" s="116"/>
      <c r="E21" s="25"/>
      <c r="F21" s="75"/>
      <c r="G21" s="81"/>
      <c r="H21" s="116"/>
      <c r="I21" s="116"/>
      <c r="J21" s="42"/>
      <c r="K21" s="25"/>
      <c r="L21" s="116"/>
      <c r="M21" s="116"/>
      <c r="N21" s="114"/>
      <c r="O21" s="114"/>
      <c r="P21" s="116"/>
      <c r="Q21" s="114"/>
      <c r="R21" s="116"/>
      <c r="S21" s="116"/>
      <c r="T21" s="114"/>
      <c r="U21" s="114"/>
      <c r="V21" s="116"/>
      <c r="W21" s="114"/>
      <c r="X21" s="116"/>
      <c r="Y21" s="114"/>
      <c r="Z21" s="114"/>
      <c r="AA21" s="116"/>
      <c r="AB21" s="116"/>
      <c r="AC21" s="116"/>
      <c r="AD21" s="116"/>
      <c r="AE21" s="116"/>
      <c r="AF21" s="22">
        <f t="shared" si="8"/>
        <v>0</v>
      </c>
      <c r="AG21" s="15">
        <f t="shared" si="1"/>
        <v>0</v>
      </c>
      <c r="AH21" s="7">
        <f t="shared" si="2"/>
        <v>0</v>
      </c>
      <c r="AI21" s="7">
        <f t="shared" si="3"/>
        <v>0</v>
      </c>
      <c r="AJ21" s="7">
        <f t="shared" si="4"/>
        <v>0</v>
      </c>
      <c r="AK21" s="12">
        <f t="shared" si="5"/>
        <v>0</v>
      </c>
      <c r="AL21" s="14">
        <f t="shared" si="9"/>
        <v>0</v>
      </c>
      <c r="AM21" s="16" t="str">
        <f t="shared" si="7"/>
        <v/>
      </c>
      <c r="AN21" s="116"/>
      <c r="AO21" s="114"/>
      <c r="AP21" s="116"/>
    </row>
    <row r="22" spans="1:42" x14ac:dyDescent="0.25">
      <c r="A22" s="117"/>
      <c r="B22" s="76"/>
      <c r="C22" s="116"/>
      <c r="D22" s="116"/>
      <c r="E22" s="77"/>
      <c r="F22" s="78"/>
      <c r="G22" s="79"/>
      <c r="H22" s="77"/>
      <c r="I22" s="77"/>
      <c r="J22" s="80"/>
      <c r="K22" s="77"/>
      <c r="L22" s="116"/>
      <c r="M22" s="116"/>
      <c r="N22" s="114"/>
      <c r="O22" s="114"/>
      <c r="P22" s="116"/>
      <c r="Q22" s="114"/>
      <c r="R22" s="116"/>
      <c r="S22" s="116"/>
      <c r="T22" s="114"/>
      <c r="U22" s="114"/>
      <c r="V22" s="116"/>
      <c r="W22" s="114"/>
      <c r="X22" s="116"/>
      <c r="Y22" s="114"/>
      <c r="Z22" s="114"/>
      <c r="AA22" s="116"/>
      <c r="AB22" s="25"/>
      <c r="AC22" s="25"/>
      <c r="AD22" s="116"/>
      <c r="AE22" s="116"/>
      <c r="AF22" s="22">
        <f t="shared" si="8"/>
        <v>0</v>
      </c>
      <c r="AG22" s="15">
        <f t="shared" si="1"/>
        <v>0</v>
      </c>
      <c r="AH22" s="7">
        <f t="shared" si="2"/>
        <v>0</v>
      </c>
      <c r="AI22" s="7">
        <f t="shared" si="3"/>
        <v>0</v>
      </c>
      <c r="AJ22" s="7">
        <f t="shared" si="4"/>
        <v>0</v>
      </c>
      <c r="AK22" s="12">
        <f t="shared" si="5"/>
        <v>0</v>
      </c>
      <c r="AL22" s="14">
        <f t="shared" si="9"/>
        <v>0</v>
      </c>
      <c r="AM22" s="16" t="str">
        <f t="shared" si="7"/>
        <v/>
      </c>
      <c r="AN22" s="116"/>
      <c r="AO22" s="114"/>
      <c r="AP22" s="116"/>
    </row>
    <row r="23" spans="1:42" x14ac:dyDescent="0.25">
      <c r="A23" s="117"/>
      <c r="B23" s="76"/>
      <c r="C23" s="116"/>
      <c r="D23" s="116"/>
      <c r="E23" s="77"/>
      <c r="F23" s="78"/>
      <c r="G23" s="79"/>
      <c r="H23" s="77"/>
      <c r="I23" s="77"/>
      <c r="J23" s="80"/>
      <c r="K23" s="77"/>
      <c r="L23" s="116"/>
      <c r="M23" s="116"/>
      <c r="N23" s="114"/>
      <c r="O23" s="114"/>
      <c r="P23" s="116"/>
      <c r="Q23" s="114"/>
      <c r="R23" s="116"/>
      <c r="S23" s="116"/>
      <c r="T23" s="114"/>
      <c r="U23" s="114"/>
      <c r="V23" s="116"/>
      <c r="W23" s="114"/>
      <c r="X23" s="116"/>
      <c r="Y23" s="114"/>
      <c r="Z23" s="114"/>
      <c r="AA23" s="116"/>
      <c r="AB23" s="25"/>
      <c r="AC23" s="25"/>
      <c r="AD23" s="116"/>
      <c r="AE23" s="116"/>
      <c r="AF23" s="22">
        <f t="shared" si="8"/>
        <v>0</v>
      </c>
      <c r="AG23" s="15">
        <f t="shared" si="1"/>
        <v>0</v>
      </c>
      <c r="AH23" s="7">
        <f t="shared" si="2"/>
        <v>0</v>
      </c>
      <c r="AI23" s="7">
        <f t="shared" si="3"/>
        <v>0</v>
      </c>
      <c r="AJ23" s="7">
        <f t="shared" si="4"/>
        <v>0</v>
      </c>
      <c r="AK23" s="12">
        <f t="shared" si="5"/>
        <v>0</v>
      </c>
      <c r="AL23" s="14">
        <f t="shared" si="9"/>
        <v>0</v>
      </c>
      <c r="AM23" s="16" t="str">
        <f t="shared" si="7"/>
        <v/>
      </c>
      <c r="AN23" s="116"/>
      <c r="AO23" s="114"/>
      <c r="AP23" s="116"/>
    </row>
    <row r="24" spans="1:42" x14ac:dyDescent="0.25">
      <c r="A24" s="117"/>
      <c r="B24" s="76"/>
      <c r="C24" s="116"/>
      <c r="D24" s="116"/>
      <c r="E24" s="77"/>
      <c r="F24" s="78"/>
      <c r="G24" s="79"/>
      <c r="H24" s="77"/>
      <c r="I24" s="77"/>
      <c r="J24" s="80"/>
      <c r="K24" s="77"/>
      <c r="L24" s="116"/>
      <c r="M24" s="116"/>
      <c r="N24" s="114"/>
      <c r="O24" s="114"/>
      <c r="P24" s="116"/>
      <c r="Q24" s="114"/>
      <c r="R24" s="116"/>
      <c r="S24" s="116"/>
      <c r="T24" s="114"/>
      <c r="U24" s="114"/>
      <c r="V24" s="116"/>
      <c r="W24" s="114"/>
      <c r="X24" s="116"/>
      <c r="Y24" s="114"/>
      <c r="Z24" s="114"/>
      <c r="AA24" s="116"/>
      <c r="AB24" s="25"/>
      <c r="AC24" s="25"/>
      <c r="AD24" s="116"/>
      <c r="AE24" s="116"/>
      <c r="AF24" s="22">
        <f t="shared" si="8"/>
        <v>0</v>
      </c>
      <c r="AG24" s="15">
        <f t="shared" si="1"/>
        <v>0</v>
      </c>
      <c r="AH24" s="7">
        <f t="shared" si="2"/>
        <v>0</v>
      </c>
      <c r="AI24" s="7">
        <f t="shared" si="3"/>
        <v>0</v>
      </c>
      <c r="AJ24" s="7">
        <f t="shared" si="4"/>
        <v>0</v>
      </c>
      <c r="AK24" s="12">
        <f t="shared" si="5"/>
        <v>0</v>
      </c>
      <c r="AL24" s="14">
        <f t="shared" si="9"/>
        <v>0</v>
      </c>
      <c r="AM24" s="16" t="str">
        <f t="shared" si="7"/>
        <v/>
      </c>
      <c r="AN24" s="116"/>
      <c r="AO24" s="114"/>
      <c r="AP24" s="116"/>
    </row>
    <row r="25" spans="1:42" x14ac:dyDescent="0.25">
      <c r="A25" s="117"/>
      <c r="B25" s="76"/>
      <c r="C25" s="116"/>
      <c r="D25" s="116"/>
      <c r="E25" s="77"/>
      <c r="F25" s="78"/>
      <c r="G25" s="79"/>
      <c r="H25" s="77"/>
      <c r="I25" s="77"/>
      <c r="J25" s="80"/>
      <c r="K25" s="77"/>
      <c r="L25" s="116"/>
      <c r="M25" s="116"/>
      <c r="N25" s="114"/>
      <c r="O25" s="114"/>
      <c r="P25" s="116"/>
      <c r="Q25" s="114"/>
      <c r="R25" s="116"/>
      <c r="S25" s="116"/>
      <c r="T25" s="114"/>
      <c r="U25" s="114"/>
      <c r="V25" s="116"/>
      <c r="W25" s="114"/>
      <c r="X25" s="116"/>
      <c r="Y25" s="114"/>
      <c r="Z25" s="114"/>
      <c r="AA25" s="116"/>
      <c r="AB25" s="25"/>
      <c r="AC25" s="25"/>
      <c r="AD25" s="116"/>
      <c r="AE25" s="116"/>
      <c r="AF25" s="22">
        <f t="shared" si="8"/>
        <v>0</v>
      </c>
      <c r="AG25" s="15">
        <f t="shared" si="1"/>
        <v>0</v>
      </c>
      <c r="AH25" s="7">
        <f t="shared" si="2"/>
        <v>0</v>
      </c>
      <c r="AI25" s="7">
        <f t="shared" si="3"/>
        <v>0</v>
      </c>
      <c r="AJ25" s="7">
        <f t="shared" si="4"/>
        <v>0</v>
      </c>
      <c r="AK25" s="12">
        <f t="shared" si="5"/>
        <v>0</v>
      </c>
      <c r="AL25" s="14">
        <f t="shared" si="9"/>
        <v>0</v>
      </c>
      <c r="AM25" s="16" t="str">
        <f t="shared" si="7"/>
        <v/>
      </c>
      <c r="AN25" s="116"/>
      <c r="AO25" s="114"/>
      <c r="AP25" s="116"/>
    </row>
    <row r="26" spans="1:42" x14ac:dyDescent="0.25">
      <c r="A26" s="117"/>
      <c r="B26" s="76"/>
      <c r="C26" s="116"/>
      <c r="D26" s="116"/>
      <c r="E26" s="77"/>
      <c r="F26" s="78"/>
      <c r="G26" s="79"/>
      <c r="H26" s="77"/>
      <c r="I26" s="77"/>
      <c r="J26" s="80"/>
      <c r="K26" s="77"/>
      <c r="L26" s="116"/>
      <c r="M26" s="116"/>
      <c r="N26" s="114"/>
      <c r="O26" s="114"/>
      <c r="P26" s="116"/>
      <c r="Q26" s="114"/>
      <c r="R26" s="116"/>
      <c r="S26" s="116"/>
      <c r="T26" s="114"/>
      <c r="U26" s="114"/>
      <c r="V26" s="116"/>
      <c r="W26" s="114"/>
      <c r="X26" s="116"/>
      <c r="Y26" s="114"/>
      <c r="Z26" s="114"/>
      <c r="AA26" s="116"/>
      <c r="AB26" s="25"/>
      <c r="AC26" s="25"/>
      <c r="AD26" s="116"/>
      <c r="AE26" s="116"/>
      <c r="AF26" s="22">
        <f t="shared" si="8"/>
        <v>0</v>
      </c>
      <c r="AG26" s="15">
        <f t="shared" si="1"/>
        <v>0</v>
      </c>
      <c r="AH26" s="7">
        <f t="shared" si="2"/>
        <v>0</v>
      </c>
      <c r="AI26" s="7">
        <f t="shared" si="3"/>
        <v>0</v>
      </c>
      <c r="AJ26" s="7">
        <f t="shared" si="4"/>
        <v>0</v>
      </c>
      <c r="AK26" s="12">
        <f t="shared" si="5"/>
        <v>0</v>
      </c>
      <c r="AL26" s="14">
        <f t="shared" si="9"/>
        <v>0</v>
      </c>
      <c r="AM26" s="16" t="str">
        <f t="shared" si="7"/>
        <v/>
      </c>
      <c r="AN26" s="116"/>
      <c r="AO26" s="114"/>
      <c r="AP26" s="116"/>
    </row>
    <row r="27" spans="1:42" x14ac:dyDescent="0.25">
      <c r="A27" s="117"/>
      <c r="B27" s="76"/>
      <c r="C27" s="116"/>
      <c r="D27" s="116"/>
      <c r="E27" s="77"/>
      <c r="F27" s="78"/>
      <c r="G27" s="79"/>
      <c r="H27" s="77"/>
      <c r="I27" s="77"/>
      <c r="J27" s="80"/>
      <c r="K27" s="77"/>
      <c r="L27" s="116"/>
      <c r="M27" s="116"/>
      <c r="N27" s="114"/>
      <c r="O27" s="114"/>
      <c r="P27" s="116"/>
      <c r="Q27" s="114"/>
      <c r="R27" s="116"/>
      <c r="S27" s="116"/>
      <c r="T27" s="114"/>
      <c r="U27" s="114"/>
      <c r="V27" s="116"/>
      <c r="W27" s="114"/>
      <c r="X27" s="116"/>
      <c r="Y27" s="114"/>
      <c r="Z27" s="114"/>
      <c r="AA27" s="116"/>
      <c r="AB27" s="116"/>
      <c r="AC27" s="116"/>
      <c r="AD27" s="116"/>
      <c r="AE27" s="116"/>
      <c r="AF27" s="22">
        <f t="shared" si="8"/>
        <v>0</v>
      </c>
      <c r="AG27" s="15">
        <f t="shared" si="1"/>
        <v>0</v>
      </c>
      <c r="AH27" s="7">
        <f t="shared" si="2"/>
        <v>0</v>
      </c>
      <c r="AI27" s="7">
        <f t="shared" si="3"/>
        <v>0</v>
      </c>
      <c r="AJ27" s="7">
        <f t="shared" si="4"/>
        <v>0</v>
      </c>
      <c r="AK27" s="12">
        <f t="shared" si="5"/>
        <v>0</v>
      </c>
      <c r="AL27" s="14">
        <f t="shared" si="9"/>
        <v>0</v>
      </c>
      <c r="AM27" s="16" t="str">
        <f t="shared" si="7"/>
        <v/>
      </c>
      <c r="AN27" s="116"/>
      <c r="AO27" s="114"/>
      <c r="AP27" s="116"/>
    </row>
    <row r="28" spans="1:42" x14ac:dyDescent="0.25">
      <c r="A28" s="117"/>
      <c r="B28" s="76"/>
      <c r="C28" s="116"/>
      <c r="D28" s="116"/>
      <c r="E28" s="77"/>
      <c r="F28" s="78"/>
      <c r="G28" s="79"/>
      <c r="H28" s="77"/>
      <c r="I28" s="77"/>
      <c r="J28" s="80"/>
      <c r="K28" s="77"/>
      <c r="L28" s="116"/>
      <c r="M28" s="116"/>
      <c r="N28" s="114"/>
      <c r="O28" s="114"/>
      <c r="P28" s="116"/>
      <c r="Q28" s="114"/>
      <c r="R28" s="116"/>
      <c r="S28" s="116"/>
      <c r="T28" s="114"/>
      <c r="U28" s="114"/>
      <c r="V28" s="116"/>
      <c r="W28" s="114"/>
      <c r="X28" s="116"/>
      <c r="Y28" s="114"/>
      <c r="Z28" s="114"/>
      <c r="AA28" s="116"/>
      <c r="AB28" s="116"/>
      <c r="AC28" s="116"/>
      <c r="AD28" s="116"/>
      <c r="AE28" s="116"/>
      <c r="AF28" s="22">
        <f t="shared" si="8"/>
        <v>0</v>
      </c>
      <c r="AG28" s="15">
        <f t="shared" si="1"/>
        <v>0</v>
      </c>
      <c r="AH28" s="7">
        <f t="shared" si="2"/>
        <v>0</v>
      </c>
      <c r="AI28" s="7">
        <f t="shared" si="3"/>
        <v>0</v>
      </c>
      <c r="AJ28" s="7">
        <f t="shared" si="4"/>
        <v>0</v>
      </c>
      <c r="AK28" s="12">
        <f t="shared" si="5"/>
        <v>0</v>
      </c>
      <c r="AL28" s="14">
        <f t="shared" si="9"/>
        <v>0</v>
      </c>
      <c r="AM28" s="16" t="str">
        <f t="shared" si="7"/>
        <v/>
      </c>
      <c r="AN28" s="116"/>
      <c r="AO28" s="114"/>
      <c r="AP28" s="116"/>
    </row>
    <row r="29" spans="1:42" x14ac:dyDescent="0.25">
      <c r="A29" s="117"/>
      <c r="B29" s="76"/>
      <c r="C29" s="116"/>
      <c r="D29" s="116"/>
      <c r="E29" s="77"/>
      <c r="F29" s="78"/>
      <c r="G29" s="79"/>
      <c r="H29" s="77"/>
      <c r="I29" s="77"/>
      <c r="J29" s="80"/>
      <c r="K29" s="77"/>
      <c r="L29" s="116"/>
      <c r="M29" s="116"/>
      <c r="N29" s="114"/>
      <c r="O29" s="114"/>
      <c r="P29" s="116"/>
      <c r="Q29" s="114"/>
      <c r="R29" s="116"/>
      <c r="S29" s="116"/>
      <c r="T29" s="114"/>
      <c r="U29" s="114"/>
      <c r="V29" s="116"/>
      <c r="W29" s="114"/>
      <c r="X29" s="116"/>
      <c r="Y29" s="114"/>
      <c r="Z29" s="114"/>
      <c r="AA29" s="116"/>
      <c r="AB29" s="116"/>
      <c r="AC29" s="116"/>
      <c r="AD29" s="116"/>
      <c r="AE29" s="116"/>
      <c r="AF29" s="22">
        <f t="shared" si="8"/>
        <v>0</v>
      </c>
      <c r="AG29" s="15">
        <f t="shared" si="1"/>
        <v>0</v>
      </c>
      <c r="AH29" s="7">
        <f t="shared" si="2"/>
        <v>0</v>
      </c>
      <c r="AI29" s="7">
        <f t="shared" si="3"/>
        <v>0</v>
      </c>
      <c r="AJ29" s="7">
        <f t="shared" si="4"/>
        <v>0</v>
      </c>
      <c r="AK29" s="12">
        <f t="shared" si="5"/>
        <v>0</v>
      </c>
      <c r="AL29" s="14">
        <f t="shared" si="9"/>
        <v>0</v>
      </c>
      <c r="AM29" s="16" t="str">
        <f t="shared" si="7"/>
        <v/>
      </c>
      <c r="AN29" s="116"/>
      <c r="AO29" s="114"/>
      <c r="AP29" s="116"/>
    </row>
    <row r="30" spans="1:42" x14ac:dyDescent="0.25">
      <c r="A30" s="117"/>
      <c r="B30" s="76"/>
      <c r="C30" s="116"/>
      <c r="D30" s="116"/>
      <c r="E30" s="77"/>
      <c r="F30" s="78"/>
      <c r="G30" s="79"/>
      <c r="H30" s="77"/>
      <c r="I30" s="77"/>
      <c r="J30" s="80"/>
      <c r="K30" s="77"/>
      <c r="L30" s="116"/>
      <c r="M30" s="116"/>
      <c r="N30" s="114"/>
      <c r="O30" s="114"/>
      <c r="P30" s="116"/>
      <c r="Q30" s="114"/>
      <c r="R30" s="116"/>
      <c r="S30" s="116"/>
      <c r="T30" s="114"/>
      <c r="U30" s="114"/>
      <c r="V30" s="116"/>
      <c r="W30" s="114"/>
      <c r="X30" s="116"/>
      <c r="Y30" s="114"/>
      <c r="Z30" s="114"/>
      <c r="AA30" s="116"/>
      <c r="AB30" s="25"/>
      <c r="AC30" s="25"/>
      <c r="AD30" s="116"/>
      <c r="AE30" s="116"/>
      <c r="AF30" s="22">
        <f t="shared" si="8"/>
        <v>0</v>
      </c>
      <c r="AG30" s="15">
        <f t="shared" si="1"/>
        <v>0</v>
      </c>
      <c r="AH30" s="7">
        <f t="shared" si="2"/>
        <v>0</v>
      </c>
      <c r="AI30" s="7">
        <f t="shared" si="3"/>
        <v>0</v>
      </c>
      <c r="AJ30" s="7">
        <f t="shared" si="4"/>
        <v>0</v>
      </c>
      <c r="AK30" s="12">
        <f t="shared" si="5"/>
        <v>0</v>
      </c>
      <c r="AL30" s="14">
        <f t="shared" si="9"/>
        <v>0</v>
      </c>
      <c r="AM30" s="16" t="str">
        <f t="shared" si="7"/>
        <v/>
      </c>
      <c r="AN30" s="116"/>
      <c r="AO30" s="114"/>
      <c r="AP30" s="116"/>
    </row>
    <row r="31" spans="1:42" x14ac:dyDescent="0.25">
      <c r="A31" s="117"/>
      <c r="B31" s="76"/>
      <c r="C31" s="116"/>
      <c r="D31" s="116"/>
      <c r="E31" s="77"/>
      <c r="F31" s="78"/>
      <c r="G31" s="79"/>
      <c r="H31" s="77"/>
      <c r="I31" s="77"/>
      <c r="J31" s="80"/>
      <c r="K31" s="77"/>
      <c r="L31" s="116"/>
      <c r="M31" s="116"/>
      <c r="N31" s="114"/>
      <c r="O31" s="114"/>
      <c r="P31" s="116"/>
      <c r="Q31" s="114"/>
      <c r="R31" s="116"/>
      <c r="S31" s="116"/>
      <c r="T31" s="114"/>
      <c r="U31" s="114"/>
      <c r="V31" s="116"/>
      <c r="W31" s="114"/>
      <c r="X31" s="116"/>
      <c r="Y31" s="114"/>
      <c r="Z31" s="114"/>
      <c r="AA31" s="116"/>
      <c r="AB31" s="116"/>
      <c r="AC31" s="116"/>
      <c r="AD31" s="116"/>
      <c r="AE31" s="116"/>
      <c r="AF31" s="22">
        <f t="shared" si="8"/>
        <v>0</v>
      </c>
      <c r="AG31" s="15">
        <f t="shared" si="1"/>
        <v>0</v>
      </c>
      <c r="AH31" s="7">
        <f t="shared" si="2"/>
        <v>0</v>
      </c>
      <c r="AI31" s="7">
        <f t="shared" si="3"/>
        <v>0</v>
      </c>
      <c r="AJ31" s="7">
        <f t="shared" si="4"/>
        <v>0</v>
      </c>
      <c r="AK31" s="12">
        <f t="shared" si="5"/>
        <v>0</v>
      </c>
      <c r="AL31" s="14">
        <f t="shared" si="9"/>
        <v>0</v>
      </c>
      <c r="AM31" s="16" t="str">
        <f t="shared" si="7"/>
        <v/>
      </c>
      <c r="AN31" s="116"/>
      <c r="AO31" s="114"/>
      <c r="AP31" s="116"/>
    </row>
    <row r="32" spans="1:42" x14ac:dyDescent="0.25">
      <c r="A32" s="117"/>
      <c r="B32" s="76"/>
      <c r="C32" s="116"/>
      <c r="D32" s="116"/>
      <c r="E32" s="77"/>
      <c r="F32" s="78"/>
      <c r="G32" s="79"/>
      <c r="H32" s="77"/>
      <c r="I32" s="77"/>
      <c r="J32" s="80"/>
      <c r="K32" s="77"/>
      <c r="L32" s="116"/>
      <c r="M32" s="116"/>
      <c r="N32" s="114"/>
      <c r="O32" s="114"/>
      <c r="P32" s="116"/>
      <c r="Q32" s="114"/>
      <c r="R32" s="116"/>
      <c r="S32" s="116"/>
      <c r="T32" s="114"/>
      <c r="U32" s="114"/>
      <c r="V32" s="116"/>
      <c r="W32" s="114"/>
      <c r="X32" s="116"/>
      <c r="Y32" s="114"/>
      <c r="Z32" s="114"/>
      <c r="AA32" s="116"/>
      <c r="AB32" s="25"/>
      <c r="AC32" s="25"/>
      <c r="AD32" s="116"/>
      <c r="AE32" s="116"/>
      <c r="AF32" s="22">
        <f t="shared" si="8"/>
        <v>0</v>
      </c>
      <c r="AG32" s="15">
        <f t="shared" si="1"/>
        <v>0</v>
      </c>
      <c r="AH32" s="7">
        <f t="shared" si="2"/>
        <v>0</v>
      </c>
      <c r="AI32" s="7">
        <f t="shared" si="3"/>
        <v>0</v>
      </c>
      <c r="AJ32" s="7">
        <f t="shared" si="4"/>
        <v>0</v>
      </c>
      <c r="AK32" s="12">
        <f t="shared" si="5"/>
        <v>0</v>
      </c>
      <c r="AL32" s="14">
        <f t="shared" si="9"/>
        <v>0</v>
      </c>
      <c r="AM32" s="16" t="str">
        <f t="shared" si="7"/>
        <v/>
      </c>
      <c r="AN32" s="116"/>
      <c r="AO32" s="114"/>
      <c r="AP32" s="116"/>
    </row>
    <row r="33" spans="1:42" x14ac:dyDescent="0.25">
      <c r="A33" s="117"/>
      <c r="B33" s="76"/>
      <c r="C33" s="116"/>
      <c r="D33" s="116"/>
      <c r="E33" s="77"/>
      <c r="F33" s="78"/>
      <c r="G33" s="79"/>
      <c r="H33" s="77"/>
      <c r="I33" s="77"/>
      <c r="J33" s="80"/>
      <c r="K33" s="77"/>
      <c r="L33" s="116"/>
      <c r="M33" s="116"/>
      <c r="N33" s="114"/>
      <c r="O33" s="114"/>
      <c r="P33" s="116"/>
      <c r="Q33" s="114"/>
      <c r="R33" s="116"/>
      <c r="S33" s="116"/>
      <c r="T33" s="114"/>
      <c r="U33" s="114"/>
      <c r="V33" s="116"/>
      <c r="W33" s="114"/>
      <c r="X33" s="116"/>
      <c r="Y33" s="114"/>
      <c r="Z33" s="114"/>
      <c r="AA33" s="116"/>
      <c r="AB33" s="116"/>
      <c r="AC33" s="116"/>
      <c r="AD33" s="116"/>
      <c r="AE33" s="116"/>
      <c r="AF33" s="22">
        <f t="shared" si="8"/>
        <v>0</v>
      </c>
      <c r="AG33" s="15">
        <f t="shared" si="1"/>
        <v>0</v>
      </c>
      <c r="AH33" s="7">
        <f t="shared" si="2"/>
        <v>0</v>
      </c>
      <c r="AI33" s="7">
        <f t="shared" si="3"/>
        <v>0</v>
      </c>
      <c r="AJ33" s="7">
        <f t="shared" si="4"/>
        <v>0</v>
      </c>
      <c r="AK33" s="12">
        <f t="shared" si="5"/>
        <v>0</v>
      </c>
      <c r="AL33" s="14">
        <f t="shared" si="9"/>
        <v>0</v>
      </c>
      <c r="AM33" s="16" t="str">
        <f t="shared" si="7"/>
        <v/>
      </c>
      <c r="AN33" s="116"/>
      <c r="AO33" s="114"/>
      <c r="AP33" s="116"/>
    </row>
    <row r="34" spans="1:42" x14ac:dyDescent="0.25">
      <c r="A34" s="117"/>
      <c r="B34" s="76"/>
      <c r="C34" s="116"/>
      <c r="D34" s="116"/>
      <c r="E34" s="77"/>
      <c r="F34" s="78"/>
      <c r="G34" s="79"/>
      <c r="H34" s="77"/>
      <c r="I34" s="77"/>
      <c r="J34" s="80"/>
      <c r="K34" s="77"/>
      <c r="L34" s="116"/>
      <c r="M34" s="116"/>
      <c r="N34" s="114"/>
      <c r="O34" s="114"/>
      <c r="P34" s="116"/>
      <c r="Q34" s="114"/>
      <c r="R34" s="116"/>
      <c r="S34" s="116"/>
      <c r="T34" s="114"/>
      <c r="U34" s="114"/>
      <c r="V34" s="116"/>
      <c r="W34" s="114"/>
      <c r="X34" s="116"/>
      <c r="Y34" s="114"/>
      <c r="Z34" s="114"/>
      <c r="AA34" s="116"/>
      <c r="AB34" s="25"/>
      <c r="AC34" s="25"/>
      <c r="AD34" s="116"/>
      <c r="AE34" s="116"/>
      <c r="AF34" s="22">
        <f t="shared" si="8"/>
        <v>0</v>
      </c>
      <c r="AG34" s="15">
        <f t="shared" si="1"/>
        <v>0</v>
      </c>
      <c r="AH34" s="7">
        <f t="shared" si="2"/>
        <v>0</v>
      </c>
      <c r="AI34" s="7">
        <f t="shared" si="3"/>
        <v>0</v>
      </c>
      <c r="AJ34" s="7">
        <f t="shared" si="4"/>
        <v>0</v>
      </c>
      <c r="AK34" s="12">
        <f t="shared" si="5"/>
        <v>0</v>
      </c>
      <c r="AL34" s="14">
        <f t="shared" si="9"/>
        <v>0</v>
      </c>
      <c r="AM34" s="16" t="str">
        <f t="shared" si="7"/>
        <v/>
      </c>
      <c r="AN34" s="116"/>
      <c r="AO34" s="114"/>
      <c r="AP34" s="116"/>
    </row>
    <row r="35" spans="1:42" x14ac:dyDescent="0.25">
      <c r="A35" s="117"/>
      <c r="B35" s="76"/>
      <c r="C35" s="116"/>
      <c r="D35" s="116"/>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6"/>
      <c r="AO35" s="114"/>
      <c r="AP35" s="25"/>
    </row>
    <row r="36" spans="1:42" x14ac:dyDescent="0.25">
      <c r="A36" s="117"/>
      <c r="B36" s="76"/>
      <c r="C36" s="116"/>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6"/>
      <c r="AO36" s="114"/>
      <c r="AP36" s="25"/>
    </row>
    <row r="37" spans="1:42" x14ac:dyDescent="0.25">
      <c r="A37" s="117"/>
      <c r="B37" s="76"/>
      <c r="C37" s="116"/>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6"/>
      <c r="AO37" s="114"/>
      <c r="AP37" s="25"/>
    </row>
    <row r="38" spans="1:42" x14ac:dyDescent="0.25">
      <c r="A38" s="117"/>
      <c r="B38" s="76"/>
      <c r="C38" s="116"/>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6"/>
      <c r="AO38" s="114"/>
      <c r="AP38" s="25"/>
    </row>
    <row r="39" spans="1:42" x14ac:dyDescent="0.25">
      <c r="A39" s="117"/>
      <c r="B39" s="76"/>
      <c r="C39" s="116"/>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6"/>
      <c r="AO39" s="114"/>
      <c r="AP39" s="25"/>
    </row>
    <row r="40" spans="1:42" x14ac:dyDescent="0.25">
      <c r="A40" s="117"/>
      <c r="B40" s="76"/>
      <c r="C40" s="116"/>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6"/>
      <c r="AO40" s="114"/>
      <c r="AP40" s="25"/>
    </row>
    <row r="41" spans="1:42" x14ac:dyDescent="0.25">
      <c r="A41" s="117"/>
      <c r="B41" s="76"/>
      <c r="C41" s="116"/>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6"/>
      <c r="AO41" s="114"/>
      <c r="AP41" s="25"/>
    </row>
    <row r="42" spans="1:42" x14ac:dyDescent="0.25">
      <c r="A42" s="117"/>
      <c r="B42" s="76"/>
      <c r="C42" s="116"/>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6"/>
      <c r="AO42" s="114"/>
      <c r="AP42" s="25"/>
    </row>
    <row r="43" spans="1:42" x14ac:dyDescent="0.25">
      <c r="A43" s="117"/>
      <c r="B43" s="76"/>
      <c r="C43" s="116"/>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6"/>
      <c r="AO43" s="114"/>
      <c r="AP43" s="25"/>
    </row>
    <row r="44" spans="1:42" x14ac:dyDescent="0.25">
      <c r="A44" s="117"/>
      <c r="B44" s="76"/>
      <c r="C44" s="116"/>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6"/>
      <c r="AO44" s="114"/>
      <c r="AP44" s="25"/>
    </row>
    <row r="45" spans="1:42" x14ac:dyDescent="0.25">
      <c r="A45" s="117"/>
      <c r="B45" s="76"/>
      <c r="C45" s="116"/>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6"/>
      <c r="AO45" s="114"/>
      <c r="AP45" s="25"/>
    </row>
    <row r="46" spans="1:42" x14ac:dyDescent="0.25">
      <c r="A46" s="117"/>
      <c r="B46" s="76"/>
      <c r="C46" s="116"/>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6"/>
      <c r="AO46" s="114"/>
      <c r="AP46" s="25"/>
    </row>
    <row r="47" spans="1:42" x14ac:dyDescent="0.25">
      <c r="A47" s="117"/>
      <c r="B47" s="76"/>
      <c r="C47" s="116"/>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6"/>
      <c r="AO47" s="114"/>
      <c r="AP47" s="25"/>
    </row>
    <row r="48" spans="1:42" x14ac:dyDescent="0.25">
      <c r="A48" s="117"/>
      <c r="B48" s="76"/>
      <c r="C48" s="116"/>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6"/>
      <c r="AO48" s="114"/>
      <c r="AP48" s="25"/>
    </row>
    <row r="49" spans="1:42" x14ac:dyDescent="0.25">
      <c r="A49" s="117"/>
      <c r="B49" s="76"/>
      <c r="C49" s="116"/>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6"/>
      <c r="AO49" s="114"/>
      <c r="AP49" s="25"/>
    </row>
    <row r="50" spans="1:42" x14ac:dyDescent="0.25">
      <c r="A50" s="117"/>
      <c r="B50" s="76"/>
      <c r="C50" s="116"/>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6"/>
      <c r="AO50" s="114"/>
      <c r="AP50" s="25"/>
    </row>
    <row r="51" spans="1:42" x14ac:dyDescent="0.25">
      <c r="A51" s="117"/>
      <c r="B51" s="76"/>
      <c r="C51" s="116"/>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6"/>
      <c r="AO51" s="114"/>
      <c r="AP51" s="25"/>
    </row>
    <row r="52" spans="1:42" x14ac:dyDescent="0.25">
      <c r="A52" s="117"/>
      <c r="B52" s="76"/>
      <c r="C52" s="116"/>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6"/>
      <c r="AO52" s="114"/>
      <c r="AP52" s="25"/>
    </row>
    <row r="53" spans="1:42" x14ac:dyDescent="0.25">
      <c r="A53" s="117"/>
      <c r="B53" s="76"/>
      <c r="C53" s="116"/>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6"/>
      <c r="AO53" s="114"/>
      <c r="AP53" s="25"/>
    </row>
    <row r="54" spans="1:42" x14ac:dyDescent="0.25">
      <c r="A54" s="117"/>
      <c r="B54" s="76"/>
      <c r="C54" s="116"/>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6"/>
      <c r="AO54" s="114"/>
      <c r="AP54" s="25"/>
    </row>
    <row r="55" spans="1:42" x14ac:dyDescent="0.25">
      <c r="A55" s="117"/>
      <c r="B55" s="76"/>
      <c r="C55" s="116"/>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6"/>
      <c r="AO55" s="114"/>
      <c r="AP55" s="25"/>
    </row>
    <row r="56" spans="1:42" x14ac:dyDescent="0.25">
      <c r="A56" s="117"/>
      <c r="B56" s="76"/>
      <c r="C56" s="116"/>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6"/>
      <c r="AO56" s="114"/>
      <c r="AP56" s="25"/>
    </row>
    <row r="57" spans="1:42" x14ac:dyDescent="0.25">
      <c r="A57" s="117"/>
      <c r="B57" s="76"/>
      <c r="C57" s="116"/>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6"/>
      <c r="AO57" s="114"/>
      <c r="AP57" s="25"/>
    </row>
    <row r="58" spans="1:42" x14ac:dyDescent="0.25">
      <c r="A58" s="117"/>
      <c r="B58" s="76"/>
      <c r="C58" s="116"/>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6"/>
      <c r="AO58" s="114"/>
      <c r="AP58" s="25"/>
    </row>
    <row r="59" spans="1:42" x14ac:dyDescent="0.25">
      <c r="A59" s="117"/>
      <c r="B59" s="76"/>
      <c r="C59" s="116"/>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6"/>
      <c r="AO59" s="114"/>
      <c r="AP59" s="25"/>
    </row>
    <row r="60" spans="1:42" x14ac:dyDescent="0.25">
      <c r="A60" s="117"/>
      <c r="B60" s="76"/>
      <c r="C60" s="116"/>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6"/>
      <c r="AO60" s="114"/>
      <c r="AP60" s="25"/>
    </row>
    <row r="61" spans="1:42" x14ac:dyDescent="0.25">
      <c r="A61" s="117"/>
      <c r="B61" s="76"/>
      <c r="C61" s="116"/>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6"/>
      <c r="AO61" s="114"/>
      <c r="AP61" s="25"/>
    </row>
    <row r="62" spans="1:42" x14ac:dyDescent="0.25">
      <c r="A62" s="117"/>
      <c r="B62" s="76"/>
      <c r="C62" s="116"/>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6"/>
      <c r="AO62" s="114"/>
      <c r="AP62" s="25"/>
    </row>
    <row r="63" spans="1:42" x14ac:dyDescent="0.25">
      <c r="A63" s="117"/>
      <c r="B63" s="76"/>
      <c r="C63" s="116"/>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6"/>
      <c r="AO63" s="114"/>
      <c r="AP63" s="25"/>
    </row>
    <row r="64" spans="1:42" x14ac:dyDescent="0.25">
      <c r="A64" s="117"/>
      <c r="B64" s="76"/>
      <c r="C64" s="116"/>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6"/>
      <c r="AO64" s="114"/>
      <c r="AP64" s="25"/>
    </row>
    <row r="65" spans="1:42" x14ac:dyDescent="0.25">
      <c r="A65" s="117"/>
      <c r="B65" s="76"/>
      <c r="C65" s="116"/>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6"/>
      <c r="AO65" s="114"/>
      <c r="AP65" s="25"/>
    </row>
    <row r="66" spans="1:42" x14ac:dyDescent="0.25">
      <c r="A66" s="117"/>
      <c r="B66" s="76"/>
      <c r="C66" s="116"/>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6"/>
      <c r="AO66" s="114"/>
      <c r="AP66" s="25"/>
    </row>
    <row r="67" spans="1:42" x14ac:dyDescent="0.25">
      <c r="A67" s="117"/>
      <c r="B67" s="76"/>
      <c r="C67" s="116"/>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6"/>
      <c r="AO67" s="114"/>
      <c r="AP67" s="25"/>
    </row>
    <row r="68" spans="1:42" x14ac:dyDescent="0.25">
      <c r="A68" s="117"/>
      <c r="B68" s="76"/>
      <c r="C68" s="116"/>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6"/>
      <c r="AO68" s="114"/>
      <c r="AP68" s="25"/>
    </row>
    <row r="69" spans="1:42" x14ac:dyDescent="0.25">
      <c r="A69" s="117"/>
      <c r="B69" s="76"/>
      <c r="C69" s="116"/>
      <c r="D69" s="116"/>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6"/>
      <c r="AO69" s="114"/>
      <c r="AP69" s="25"/>
    </row>
    <row r="70" spans="1:42" x14ac:dyDescent="0.25">
      <c r="A70" s="117"/>
      <c r="B70" s="76"/>
      <c r="C70" s="116"/>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6"/>
      <c r="AO70" s="114"/>
      <c r="AP70" s="25"/>
    </row>
    <row r="71" spans="1:42" x14ac:dyDescent="0.25">
      <c r="A71" s="117"/>
      <c r="B71" s="76"/>
      <c r="C71" s="116"/>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6"/>
      <c r="AO71" s="114"/>
      <c r="AP71" s="25"/>
    </row>
    <row r="72" spans="1:42" x14ac:dyDescent="0.25">
      <c r="A72" s="117"/>
      <c r="B72" s="76"/>
      <c r="C72" s="116"/>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6"/>
      <c r="AO72" s="114"/>
      <c r="AP72" s="25"/>
    </row>
    <row r="73" spans="1:42" x14ac:dyDescent="0.25">
      <c r="A73" s="117"/>
      <c r="B73" s="76"/>
      <c r="C73" s="116"/>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6"/>
      <c r="AO73" s="114"/>
      <c r="AP73" s="25"/>
    </row>
    <row r="74" spans="1:42" x14ac:dyDescent="0.25">
      <c r="A74" s="117"/>
      <c r="B74" s="76"/>
      <c r="C74" s="116"/>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6"/>
      <c r="AO74" s="114"/>
      <c r="AP74" s="25"/>
    </row>
    <row r="75" spans="1:42" x14ac:dyDescent="0.25">
      <c r="A75" s="117"/>
      <c r="B75" s="76"/>
      <c r="C75" s="116"/>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6"/>
      <c r="AO75" s="114"/>
      <c r="AP75" s="25"/>
    </row>
    <row r="76" spans="1:42" x14ac:dyDescent="0.25">
      <c r="A76" s="117"/>
      <c r="B76" s="76"/>
      <c r="C76" s="116"/>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6"/>
      <c r="AO76" s="114"/>
      <c r="AP76" s="25"/>
    </row>
    <row r="77" spans="1:42" x14ac:dyDescent="0.25">
      <c r="A77" s="117"/>
      <c r="B77" s="76"/>
      <c r="C77" s="116"/>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6"/>
      <c r="AO77" s="114"/>
      <c r="AP77" s="25"/>
    </row>
    <row r="78" spans="1:42" x14ac:dyDescent="0.25">
      <c r="A78" s="117"/>
      <c r="B78" s="76"/>
      <c r="C78" s="116"/>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6"/>
      <c r="AO78" s="114"/>
      <c r="AP78" s="25"/>
    </row>
    <row r="79" spans="1:42" x14ac:dyDescent="0.25">
      <c r="A79" s="117"/>
      <c r="B79" s="76"/>
      <c r="C79" s="116"/>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6"/>
      <c r="AO79" s="114"/>
      <c r="AP79" s="25"/>
    </row>
    <row r="80" spans="1:42" x14ac:dyDescent="0.25">
      <c r="A80" s="117"/>
      <c r="B80" s="76"/>
      <c r="C80" s="116"/>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6"/>
      <c r="AO80" s="114"/>
      <c r="AP80" s="25"/>
    </row>
    <row r="81" spans="1:42" x14ac:dyDescent="0.25">
      <c r="A81" s="117"/>
      <c r="B81" s="76"/>
      <c r="C81" s="116"/>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6"/>
      <c r="AO81" s="114"/>
      <c r="AP81" s="25"/>
    </row>
    <row r="82" spans="1:42" x14ac:dyDescent="0.25">
      <c r="A82" s="117"/>
      <c r="B82" s="76"/>
      <c r="C82" s="116"/>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6"/>
      <c r="AO82" s="114"/>
      <c r="AP82" s="25"/>
    </row>
    <row r="83" spans="1:42" x14ac:dyDescent="0.25">
      <c r="A83" s="117"/>
      <c r="B83" s="76"/>
      <c r="C83" s="116"/>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6"/>
      <c r="AO83" s="114"/>
      <c r="AP83" s="25"/>
    </row>
    <row r="84" spans="1:42" x14ac:dyDescent="0.25">
      <c r="A84" s="117"/>
      <c r="B84" s="76"/>
      <c r="C84" s="116"/>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6"/>
      <c r="AO84" s="114"/>
      <c r="AP84" s="25"/>
    </row>
    <row r="85" spans="1:42" x14ac:dyDescent="0.25">
      <c r="A85" s="117"/>
      <c r="B85" s="76"/>
      <c r="C85" s="116"/>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6"/>
      <c r="AO85" s="114"/>
      <c r="AP85" s="25"/>
    </row>
    <row r="86" spans="1:42" x14ac:dyDescent="0.25">
      <c r="A86" s="117"/>
      <c r="B86" s="76"/>
      <c r="C86" s="116"/>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6"/>
      <c r="AO86" s="114"/>
      <c r="AP86" s="25"/>
    </row>
    <row r="87" spans="1:42" x14ac:dyDescent="0.25">
      <c r="A87" s="117"/>
      <c r="B87" s="76"/>
      <c r="C87" s="116"/>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6"/>
      <c r="AO87" s="114"/>
      <c r="AP87" s="25"/>
    </row>
    <row r="88" spans="1:42" x14ac:dyDescent="0.25">
      <c r="A88" s="117"/>
      <c r="B88" s="76"/>
      <c r="C88" s="116"/>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6"/>
      <c r="AO88" s="114"/>
      <c r="AP88" s="25"/>
    </row>
    <row r="89" spans="1:42" x14ac:dyDescent="0.25">
      <c r="A89" s="117"/>
      <c r="B89" s="76"/>
      <c r="C89" s="116"/>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6"/>
      <c r="AO89" s="114"/>
      <c r="AP89" s="25"/>
    </row>
    <row r="90" spans="1:42" x14ac:dyDescent="0.25">
      <c r="A90" s="117"/>
      <c r="B90" s="76"/>
      <c r="C90" s="116"/>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6"/>
      <c r="AO90" s="114"/>
      <c r="AP90" s="25"/>
    </row>
    <row r="91" spans="1:42" x14ac:dyDescent="0.25">
      <c r="A91" s="117"/>
      <c r="B91" s="76"/>
      <c r="C91" s="116"/>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6"/>
      <c r="AO91" s="114"/>
      <c r="AP91" s="25"/>
    </row>
    <row r="92" spans="1:42" x14ac:dyDescent="0.25">
      <c r="A92" s="117"/>
      <c r="B92" s="76"/>
      <c r="C92" s="116"/>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6"/>
      <c r="AO92" s="114"/>
      <c r="AP92" s="25"/>
    </row>
    <row r="93" spans="1:42" x14ac:dyDescent="0.25">
      <c r="A93" s="117"/>
      <c r="B93" s="76"/>
      <c r="C93" s="116"/>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6"/>
      <c r="AO93" s="114"/>
      <c r="AP93" s="25"/>
    </row>
    <row r="94" spans="1:42" x14ac:dyDescent="0.25">
      <c r="A94" s="117"/>
      <c r="B94" s="76"/>
      <c r="C94" s="116"/>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6"/>
      <c r="AO94" s="114"/>
      <c r="AP94" s="25"/>
    </row>
    <row r="95" spans="1:42" x14ac:dyDescent="0.25">
      <c r="A95" s="117"/>
      <c r="B95" s="76"/>
      <c r="C95" s="116"/>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6"/>
      <c r="AO95" s="114"/>
      <c r="AP95" s="25"/>
    </row>
    <row r="96" spans="1:42" x14ac:dyDescent="0.25">
      <c r="A96" s="117"/>
      <c r="B96" s="76"/>
      <c r="C96" s="116"/>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6"/>
      <c r="AO96" s="114"/>
      <c r="AP96" s="25"/>
    </row>
    <row r="97" spans="1:42" x14ac:dyDescent="0.25">
      <c r="A97" s="117"/>
      <c r="B97" s="76"/>
      <c r="C97" s="116"/>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6"/>
      <c r="AO97" s="114"/>
      <c r="AP97" s="25"/>
    </row>
    <row r="98" spans="1:42" x14ac:dyDescent="0.25">
      <c r="A98" s="117"/>
      <c r="B98" s="76"/>
      <c r="C98" s="116"/>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6"/>
      <c r="AO98" s="114"/>
      <c r="AP98" s="25"/>
    </row>
    <row r="99" spans="1:42" x14ac:dyDescent="0.25">
      <c r="A99" s="117"/>
      <c r="B99" s="76"/>
      <c r="C99" s="116"/>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6"/>
      <c r="AO99" s="114"/>
      <c r="AP99" s="25"/>
    </row>
    <row r="100" spans="1:42" x14ac:dyDescent="0.25">
      <c r="A100" s="117"/>
      <c r="B100" s="76"/>
      <c r="C100" s="116"/>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6"/>
      <c r="AO100" s="114"/>
      <c r="AP100" s="25"/>
    </row>
    <row r="101" spans="1:42" x14ac:dyDescent="0.25">
      <c r="A101" s="117"/>
      <c r="B101" s="76"/>
      <c r="C101" s="116"/>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6"/>
      <c r="AO101" s="114"/>
      <c r="AP101" s="116"/>
    </row>
    <row r="102" spans="1:42" x14ac:dyDescent="0.25">
      <c r="A102" s="117"/>
      <c r="B102" s="76"/>
      <c r="C102" s="116"/>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6"/>
      <c r="AO102" s="114"/>
      <c r="AP102" s="25"/>
    </row>
    <row r="103" spans="1:42" x14ac:dyDescent="0.25">
      <c r="A103" s="117"/>
      <c r="B103" s="76"/>
      <c r="C103" s="116"/>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6"/>
      <c r="AO103" s="114"/>
      <c r="AP103" s="25"/>
    </row>
    <row r="104" spans="1:42" x14ac:dyDescent="0.25">
      <c r="A104" s="117"/>
      <c r="B104" s="76"/>
      <c r="C104" s="116"/>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6"/>
      <c r="AO104" s="114"/>
      <c r="AP104" s="25"/>
    </row>
    <row r="105" spans="1:42" x14ac:dyDescent="0.25">
      <c r="A105" s="117"/>
      <c r="B105" s="76"/>
      <c r="C105" s="116"/>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6"/>
      <c r="AO105" s="114"/>
      <c r="AP105" s="25"/>
    </row>
    <row r="106" spans="1:42" x14ac:dyDescent="0.25">
      <c r="A106" s="117"/>
      <c r="B106" s="76"/>
      <c r="C106" s="116"/>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6"/>
      <c r="AO106" s="114"/>
      <c r="AP106" s="25"/>
    </row>
    <row r="107" spans="1:42" x14ac:dyDescent="0.25">
      <c r="A107" s="117"/>
      <c r="B107" s="76"/>
      <c r="C107" s="116"/>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6"/>
      <c r="AO107" s="114"/>
      <c r="AP107" s="25"/>
    </row>
    <row r="108" spans="1:42" x14ac:dyDescent="0.25">
      <c r="A108" s="117"/>
      <c r="B108" s="76"/>
      <c r="C108" s="116"/>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6"/>
      <c r="AO108" s="114"/>
      <c r="AP108" s="25"/>
    </row>
    <row r="109" spans="1:42" x14ac:dyDescent="0.25">
      <c r="A109" s="117"/>
      <c r="B109" s="76"/>
      <c r="C109" s="116"/>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6"/>
      <c r="AO109" s="114"/>
      <c r="AP109" s="25"/>
    </row>
    <row r="110" spans="1:42" x14ac:dyDescent="0.25">
      <c r="A110" s="117"/>
      <c r="B110" s="76"/>
      <c r="C110" s="116"/>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6"/>
      <c r="AO110" s="114"/>
      <c r="AP110" s="25"/>
    </row>
    <row r="111" spans="1:42" x14ac:dyDescent="0.25">
      <c r="A111" s="117"/>
      <c r="B111" s="76"/>
      <c r="C111" s="116"/>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6"/>
      <c r="AO111" s="114"/>
      <c r="AP111" s="25"/>
    </row>
    <row r="112" spans="1:42" x14ac:dyDescent="0.25">
      <c r="A112" s="117"/>
      <c r="B112" s="76"/>
      <c r="C112" s="116"/>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6"/>
      <c r="AO112" s="114"/>
      <c r="AP112" s="25"/>
    </row>
    <row r="113" spans="1:42" x14ac:dyDescent="0.25">
      <c r="A113" s="117"/>
      <c r="B113" s="76"/>
      <c r="C113" s="116"/>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6"/>
      <c r="AO113" s="114"/>
      <c r="AP113" s="25"/>
    </row>
    <row r="114" spans="1:42" x14ac:dyDescent="0.25">
      <c r="A114" s="117"/>
      <c r="B114" s="76"/>
      <c r="C114" s="116"/>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6"/>
      <c r="AO114" s="114"/>
      <c r="AP114" s="25"/>
    </row>
    <row r="115" spans="1:42" x14ac:dyDescent="0.25">
      <c r="A115" s="117"/>
      <c r="B115" s="76"/>
      <c r="C115" s="116"/>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6"/>
      <c r="AO115" s="114"/>
      <c r="AP115" s="25"/>
    </row>
    <row r="116" spans="1:42" x14ac:dyDescent="0.25">
      <c r="A116" s="117"/>
      <c r="B116" s="76"/>
      <c r="C116" s="116"/>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6"/>
      <c r="AO116" s="114"/>
      <c r="AP116" s="25"/>
    </row>
    <row r="117" spans="1:42" x14ac:dyDescent="0.25">
      <c r="A117" s="117"/>
      <c r="B117" s="76"/>
      <c r="C117" s="116"/>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6"/>
      <c r="AO117" s="114"/>
      <c r="AP117" s="25"/>
    </row>
    <row r="118" spans="1:42" x14ac:dyDescent="0.25">
      <c r="A118" s="117"/>
      <c r="B118" s="76"/>
      <c r="C118" s="116"/>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6"/>
      <c r="AO118" s="114"/>
      <c r="AP118" s="25"/>
    </row>
    <row r="119" spans="1:42" x14ac:dyDescent="0.25">
      <c r="A119" s="117"/>
      <c r="B119" s="76"/>
      <c r="C119" s="116"/>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6"/>
      <c r="AO119" s="114"/>
      <c r="AP119" s="25"/>
    </row>
    <row r="120" spans="1:42" x14ac:dyDescent="0.25">
      <c r="A120" s="117"/>
      <c r="B120" s="76"/>
      <c r="C120" s="116"/>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6"/>
      <c r="AO120" s="114"/>
      <c r="AP120" s="25"/>
    </row>
    <row r="121" spans="1:42" x14ac:dyDescent="0.25">
      <c r="A121" s="117"/>
      <c r="B121" s="76"/>
      <c r="C121" s="116"/>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6"/>
      <c r="AO121" s="114"/>
      <c r="AP121" s="25"/>
    </row>
    <row r="122" spans="1:42" x14ac:dyDescent="0.25">
      <c r="A122" s="117"/>
      <c r="B122" s="76"/>
      <c r="C122" s="116"/>
      <c r="D122" s="25"/>
      <c r="E122" s="77"/>
      <c r="F122" s="78"/>
      <c r="G122" s="79"/>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6"/>
      <c r="AO122" s="114"/>
      <c r="AP122" s="25"/>
    </row>
    <row r="123" spans="1:42" x14ac:dyDescent="0.25">
      <c r="A123" s="117"/>
      <c r="B123" s="76"/>
      <c r="C123" s="116"/>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6"/>
      <c r="AO123" s="114"/>
      <c r="AP123" s="25"/>
    </row>
    <row r="124" spans="1:42" x14ac:dyDescent="0.25">
      <c r="A124" s="117"/>
      <c r="B124" s="76"/>
      <c r="C124" s="116"/>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6"/>
      <c r="AO124" s="114"/>
      <c r="AP124" s="25"/>
    </row>
    <row r="125" spans="1:42" x14ac:dyDescent="0.25">
      <c r="A125" s="117"/>
      <c r="B125" s="76"/>
      <c r="C125" s="116"/>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6"/>
      <c r="AO125" s="114"/>
      <c r="AP125" s="25"/>
    </row>
    <row r="126" spans="1:42" x14ac:dyDescent="0.25">
      <c r="A126" s="117"/>
      <c r="B126" s="76"/>
      <c r="C126" s="116"/>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6"/>
      <c r="AO126" s="114"/>
      <c r="AP126" s="25"/>
    </row>
    <row r="127" spans="1:42" x14ac:dyDescent="0.25">
      <c r="A127" s="117"/>
      <c r="B127" s="76"/>
      <c r="C127" s="116"/>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6"/>
      <c r="AO127" s="114"/>
      <c r="AP127" s="25"/>
    </row>
    <row r="128" spans="1:42" x14ac:dyDescent="0.25">
      <c r="A128" s="117"/>
      <c r="B128" s="76"/>
      <c r="C128" s="116"/>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6"/>
      <c r="AO128" s="114"/>
      <c r="AP128" s="25"/>
    </row>
    <row r="129" spans="1:42" x14ac:dyDescent="0.25">
      <c r="A129" s="117"/>
      <c r="B129" s="76"/>
      <c r="C129" s="116"/>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6"/>
      <c r="AO129" s="114"/>
      <c r="AP129" s="25"/>
    </row>
    <row r="130" spans="1:42" x14ac:dyDescent="0.25">
      <c r="A130" s="117"/>
      <c r="B130" s="76"/>
      <c r="C130" s="116"/>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6"/>
      <c r="AO130" s="114"/>
      <c r="AP130" s="25"/>
    </row>
    <row r="131" spans="1:42" x14ac:dyDescent="0.25">
      <c r="A131" s="117"/>
      <c r="B131" s="76"/>
      <c r="C131" s="116"/>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6"/>
      <c r="AO131" s="114"/>
      <c r="AP131" s="25"/>
    </row>
    <row r="132" spans="1:42" x14ac:dyDescent="0.25">
      <c r="A132" s="117"/>
      <c r="B132" s="76"/>
      <c r="C132" s="116"/>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6"/>
      <c r="AO132" s="114"/>
      <c r="AP132" s="25"/>
    </row>
    <row r="133" spans="1:42" x14ac:dyDescent="0.25">
      <c r="A133" s="117"/>
      <c r="B133" s="76"/>
      <c r="C133" s="116"/>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6"/>
      <c r="AO133" s="114"/>
      <c r="AP133" s="25"/>
    </row>
    <row r="134" spans="1:42" x14ac:dyDescent="0.25">
      <c r="A134" s="117"/>
      <c r="B134" s="76"/>
      <c r="C134" s="116"/>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6"/>
      <c r="AO134" s="114"/>
      <c r="AP134" s="25"/>
    </row>
    <row r="135" spans="1:42" x14ac:dyDescent="0.25">
      <c r="A135" s="117"/>
      <c r="B135" s="76"/>
      <c r="C135" s="116"/>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6"/>
      <c r="AO135" s="114"/>
      <c r="AP135" s="25"/>
    </row>
    <row r="136" spans="1:42" x14ac:dyDescent="0.25">
      <c r="A136" s="117"/>
      <c r="B136" s="76"/>
      <c r="C136" s="116"/>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6"/>
      <c r="AO136" s="114"/>
      <c r="AP136" s="25"/>
    </row>
    <row r="137" spans="1:42" x14ac:dyDescent="0.25">
      <c r="A137" s="117"/>
      <c r="B137" s="76"/>
      <c r="C137" s="116"/>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6"/>
      <c r="AO137" s="114"/>
      <c r="AP137" s="25"/>
    </row>
    <row r="138" spans="1:42" x14ac:dyDescent="0.25">
      <c r="A138" s="117"/>
      <c r="B138" s="76"/>
      <c r="C138" s="116"/>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6"/>
      <c r="AO138" s="114"/>
      <c r="AP138" s="25"/>
    </row>
    <row r="139" spans="1:42" x14ac:dyDescent="0.25">
      <c r="A139" s="117"/>
      <c r="B139" s="76"/>
      <c r="C139" s="116"/>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6"/>
      <c r="AO139" s="114"/>
      <c r="AP139" s="25"/>
    </row>
    <row r="140" spans="1:42" x14ac:dyDescent="0.25">
      <c r="A140" s="117"/>
      <c r="B140" s="76"/>
      <c r="C140" s="116"/>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6"/>
      <c r="AO140" s="114"/>
      <c r="AP140" s="25"/>
    </row>
    <row r="141" spans="1:42" x14ac:dyDescent="0.25">
      <c r="A141" s="117"/>
      <c r="B141" s="76"/>
      <c r="C141" s="116"/>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6"/>
      <c r="AO141" s="114"/>
      <c r="AP141" s="25"/>
    </row>
    <row r="142" spans="1:42" x14ac:dyDescent="0.25">
      <c r="A142" s="117"/>
      <c r="B142" s="76"/>
      <c r="C142" s="116"/>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6"/>
      <c r="AO142" s="114"/>
      <c r="AP142" s="25"/>
    </row>
    <row r="143" spans="1:42" x14ac:dyDescent="0.25">
      <c r="A143" s="117"/>
      <c r="B143" s="76"/>
      <c r="C143" s="116"/>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6"/>
      <c r="AO143" s="114"/>
      <c r="AP143" s="25"/>
    </row>
    <row r="144" spans="1:42" x14ac:dyDescent="0.25">
      <c r="A144" s="117"/>
      <c r="B144" s="76"/>
      <c r="C144" s="116"/>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6"/>
      <c r="AO144" s="114"/>
      <c r="AP144" s="25"/>
    </row>
    <row r="145" spans="1:42" x14ac:dyDescent="0.25">
      <c r="A145" s="117"/>
      <c r="B145" s="76"/>
      <c r="C145" s="116"/>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6"/>
      <c r="AO145" s="114"/>
      <c r="AP145" s="25"/>
    </row>
    <row r="146" spans="1:42" x14ac:dyDescent="0.25">
      <c r="A146" s="117"/>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6"/>
      <c r="AO146" s="114"/>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Nzo4LJtOJLc8zSiDLCIsIX5kk376eIGsqHxRk+EPCJPBk155RyhauPxNoUcPgQxZOYPGJnVLUD9/p3QHok+iuQ==" saltValue="b7iYj3Vn6C/bWH3iAHVsu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4">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4 Q26 Q30 Q3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 N18:N20 N24 N26 N30 N3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121 H123: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Q34"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17 M15 M10 M25 M22:M23 M34 M32 M7"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17 N15 N10 N25 N22:N23 N34 N32 N7" xr:uid="{B8E592C0-C6F9-42DF-85C0-9C73183AE375}">
      <formula1>0.01</formula1>
      <formula2>100</formula2>
    </dataValidation>
    <dataValidation type="list" allowBlank="1" showInputMessage="1" showErrorMessage="1" errorTitle="Invalid value entered" error="The crossing subtype is not compatible with a crossing type of Closed Bottom Structure" sqref="M21 M11:M14 M27:M29 M33 M31 M8:M9 M5:M6"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21 N11:N14 N27:N29 N33 N31 N8:N9 N5:N6"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3 Q14"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0.89 and &gt;= 0.01" sqref="Q9" xr:uid="{D018B7FC-EA48-4F4F-84D8-12860F660A62}">
      <formula1>0.01</formula1>
      <formula2>0.89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0.49 and &gt;= 0.01" sqref="Q11 Q29 Q8" xr:uid="{1B8EE167-1466-4B0E-9E0E-8B89C0558697}">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12 Q2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0.29 and &gt;= 0.01" sqref="Q13" xr:uid="{76D5CCF8-FCF7-4C47-AB58-08C0DBA7F97C}">
      <formula1>0.01</formula1>
      <formula2>0.29</formula2>
    </dataValidation>
    <dataValidation type="decimal" allowBlank="1" showInputMessage="1" showErrorMessage="1" errorTitle="Invalid value entered" error="The Average Depth Embededdment you entered is invalid. The Average Depth Embededdment must be &lt;= 11.99 and &gt;= 0.01" sqref="Q15 Q17 Q32" xr:uid="{766C50BB-3193-40CB-9673-C10343115160}">
      <formula1>0.01</formula1>
      <formula2>11.99</formula2>
    </dataValidation>
    <dataValidation type="list" allowBlank="1" showInputMessage="1" showErrorMessage="1" errorTitle="Invalid value entered" error="The crossing subtype is not compatible with a crossing type of Other" sqref="M16 M18:M20 M24 M30 M26"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94 and &gt;= 0.01" sqref="Q21" xr:uid="{1256FCC5-CBCF-4CCA-9CC3-64D1B67A36DD}">
      <formula1>0.01</formula1>
      <formula2>1.94</formula2>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8.99 and &gt;= 0.01" sqref="Q23" xr:uid="{26AC2223-07CB-4EF2-8232-43A17AEEFFC2}">
      <formula1>0.01</formula1>
      <formula2>8.99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1.09 and &gt;= 0.01" sqref="Q31" xr:uid="{A440A725-446A-49E1-A151-8BA638B26A95}">
      <formula1>0.01</formula1>
      <formula2>1.09</formula2>
    </dataValidation>
    <dataValidation type="decimal" allowBlank="1" showInputMessage="1" showErrorMessage="1" errorTitle="Invalid value entered" error="The Average Depth Embededdment you entered is invalid. The Average Depth Embededdment must be &lt;= 22.99 and &gt;= 0.01" sqref="Q7" xr:uid="{5CF4CD2E-536B-4A32-92ED-DCBC2A5913F1}">
      <formula1>0.01</formula1>
      <formula2>22.99</formula2>
    </dataValidation>
    <dataValidation type="decimal" allowBlank="1" showInputMessage="1" showErrorMessage="1" errorTitle="Invalid value entered" error="The Average Depth Embededdment you entered is invalid. The Average Depth Embededdment must be &lt;= 3.99 and &gt;= 0.01" sqref="Q5" xr:uid="{E810434E-8617-466C-9CDD-6108420CB927}">
      <formula1>0.01</formula1>
      <formula2>3.99</formula2>
    </dataValidation>
    <dataValidation type="decimal" allowBlank="1" showInputMessage="1" showErrorMessage="1" errorTitle="Invalid value entered" error="The Average Depth Embededdment you entered is invalid. The Average Depth Embededdment must be &lt;= 1.29 and &gt;= 0.01" sqref="Q6" xr:uid="{B41B2CFB-A4EE-4526-B8BC-47B100E89B82}">
      <formula1>0.01</formula1>
      <formula2>1.29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2022-04-11T19:03:39Z</dcterms:modified>
</cp:coreProperties>
</file>