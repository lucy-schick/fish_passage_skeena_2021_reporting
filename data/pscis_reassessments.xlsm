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C930ACF9-8F70-4551-8CDE-4732213322C4}"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10" i="2"/>
  <c r="AL8" i="2"/>
  <c r="AM8"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L9" i="2"/>
  <c r="AM9" i="2" s="1"/>
  <c r="AL33" i="2"/>
  <c r="AM33" i="2" s="1"/>
  <c r="AL29" i="2"/>
  <c r="AM29" i="2" s="1"/>
  <c r="AL17" i="2"/>
  <c r="AL10" i="2"/>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<sst xmlns="http://schemas.openxmlformats.org/spreadsheetml/2006/main" count="147" uniqueCount="119">
  <si>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</si>
  <si>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</si>
  <si>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</si>
  <si>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</si>
  <si>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</si>
  <si>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</si>
  <si>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</si>
  <si>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</si>
  <si>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</si>
  <si>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</si>
  <si>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</si>
  <si>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</si>
  <si>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</si>
  <si>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</si>
  <si>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</si>
  <si>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</si>
  <si>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</si>
  <si>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</si>
  <si>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</si>
  <si>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</si>
  <si>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</si>
  <si>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</si>
  <si>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</si>
  <si>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</si>
  <si>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</si>
  <si>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</si>
  <si>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</si>
  <si>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</si>
  <si>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</si>
  <si>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</si>
  <si>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</si>
  <si>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</si>
  <si>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</si>
  <si>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</si>
  <si>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</si>
  <si>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</si>
  <si>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</si>
  <si>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</si>
  <si>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</si>
  <si>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</si>
  <si>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</si>
  <si>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</si>
  <si>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</si>
  <si>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</si>
  <si>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</si>
  <si>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</si>
  <si>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</si>
  <si>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</si>
  <si>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</si>
  <si>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</si>
  <si>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</si>
  <si>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</si>
  <si>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</si>
  <si>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</si>
  <si>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</si>
  <si>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</si>
  <si>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</si>
  <si>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</si>
  <si>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</si>
  <si>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</si>
  <si>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</si>
  <si>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</si>
  <si>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</si>
  <si>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</si>
  <si>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</si>
  <si>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</si>
  <si>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</si>
  <si>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</si>
  <si>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</si>
  <si>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</si>
  <si>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</si>
  <si>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</si>
  <si>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</si>
  <si>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</si>
  <si>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</si>
  <si>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</si>
  <si>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</si>
  <si>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</si>
  <si>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</si>
  <si>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</si>
  <si>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</si>
  <si>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</si>
  <si>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</si>
  <si>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</si>
  <si>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</si>
  <si>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</si>
  <si>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</si>
  <si>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</si>
  <si>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</si>
  <si>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</si>
  <si>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</si>
  <si>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</si>
  <si>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Deep Creek</t>
  </si>
  <si>
    <t>Highway 16</t>
  </si>
  <si>
    <t>KP</t>
  </si>
  <si>
    <t>Waterfall Creek</t>
  </si>
  <si>
    <t>Unnamed</t>
  </si>
  <si>
    <t>AI</t>
  </si>
  <si>
    <t>Corya Creek</t>
  </si>
  <si>
    <t>Tributary to Thompson Creek</t>
  </si>
  <si>
    <t>Open Bottom Structure</t>
  </si>
  <si>
    <t>Bridge</t>
  </si>
  <si>
    <t>Bridge. 17:50</t>
  </si>
  <si>
    <t>Closed Bottom Structure</t>
  </si>
  <si>
    <t>Oval Culvert</t>
  </si>
  <si>
    <t>Yes</t>
  </si>
  <si>
    <t>No</t>
  </si>
  <si>
    <t>Deep Fill</t>
  </si>
  <si>
    <t>High</t>
  </si>
  <si>
    <t>Fish sighted, looks passable. 9:43</t>
  </si>
  <si>
    <t>Round Culvert</t>
  </si>
  <si>
    <t>Low</t>
  </si>
  <si>
    <t>Medium</t>
  </si>
  <si>
    <t>Water depth at inlet 0.3, at outlet 0.4. Upstream does not have well developed channel, more of a dispersed wetland mixed with heavy vegetation and forest cover. Not a lot of obvious open water. 15:39</t>
  </si>
  <si>
    <t>Main flow of Thompson at Wescott is from tributary with bridge. This stream drains Fishpan Lake but has low habitat value compared to downstream below tributary. 17:17</t>
  </si>
  <si>
    <t>New Hazelton Unclassified</t>
  </si>
  <si>
    <t>Unclassified</t>
  </si>
  <si>
    <t>MoTi</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</si>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</sst>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L18" sqref="L1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44451</v>
      </c>
      <c r="B5" s="112">
        <v>195289</v>
      </c>
      <c r="C5" s="116"/>
      <c r="D5" s="116" t="s">
        <v>94</v>
      </c>
      <c r="E5" s="77">
        <v>9</v>
      </c>
      <c r="F5" s="53">
        <v>639862.43740992097</v>
      </c>
      <c r="G5" s="51">
        <v>6051752.4646249199</v>
      </c>
      <c r="H5" s="77" t="s">
        <v>92</v>
      </c>
      <c r="I5" s="77" t="s">
        <v>93</v>
      </c>
      <c r="J5" s="104"/>
      <c r="K5" s="77" t="s">
        <v>117</v>
      </c>
      <c r="L5" s="116" t="s">
        <v>103</v>
      </c>
      <c r="M5" s="116" t="s">
        <v>104</v>
      </c>
      <c r="N5" s="109">
        <v>4</v>
      </c>
      <c r="O5" s="109">
        <v>16</v>
      </c>
      <c r="P5" s="116" t="s">
        <v>105</v>
      </c>
      <c r="Q5" s="116">
        <v>7.4999999999999997E-2</v>
      </c>
      <c r="R5" s="116" t="s">
        <v>105</v>
      </c>
      <c r="S5" s="116" t="s">
        <v>105</v>
      </c>
      <c r="T5" s="116">
        <v>100</v>
      </c>
      <c r="U5" s="116">
        <v>1.5</v>
      </c>
      <c r="V5" s="116"/>
      <c r="W5" s="116"/>
      <c r="X5" s="116" t="s">
        <v>106</v>
      </c>
      <c r="Y5" s="116">
        <v>0.5</v>
      </c>
      <c r="Z5" s="116">
        <v>7.03</v>
      </c>
      <c r="AA5" s="116">
        <v>0.5</v>
      </c>
      <c r="AB5" s="115" t="s">
        <v>106</v>
      </c>
      <c r="AC5" s="115" t="s">
        <v>105</v>
      </c>
      <c r="AD5" s="116" t="s">
        <v>107</v>
      </c>
      <c r="AE5" s="116" t="s">
        <v>108</v>
      </c>
      <c r="AF5" s="22">
        <f>IF(ISBLANK(Z5), 0, IF(ISBLANK(N5) &lt; 0, 0,Z5 / N5))</f>
        <v>1.7575000000000001</v>
      </c>
      <c r="AG5" s="15">
        <f>IF(O5&lt;15,0,IF(AND(O5&gt;=15,O5&lt;30),3,IF(O5&gt;=30,6,0)))</f>
        <v>3</v>
      </c>
      <c r="AH5" s="7">
        <f>IF(P5 = "No", 10, IF(ISBLANK(N5), 0, IF(ISBLANK(Q5), 0, IF(OR(Q5 / N5 &lt;= 0.2, Q5 &lt; 0.3), 5, IF(OR(Q5 / N5 &gt;= 0.2, Q5 &gt;= 0.3), 0)))))</f>
        <v>5</v>
      </c>
      <c r="AI5" s="7">
        <f>IF(V5&lt;0.15,0,IF(AND(V5&gt;=0.15,V5&lt;0.3),5,IF(V5&gt;=0.3,10,0)))</f>
        <v>0</v>
      </c>
      <c r="AJ5" s="7">
        <f>IF(Y5&lt;1,0,IF(AND(Y5&gt;=1,Y5&lt;3),5,IF(Y5&gt;=3,10,0)))</f>
        <v>0</v>
      </c>
      <c r="AK5" s="12">
        <f>IF(AF5&lt;1,0,IF(AND(AF5&gt;=1,AF5&lt;1.3),3,IF(AF5&gt;=1.3,6,0)))</f>
        <v>6</v>
      </c>
      <c r="AL5" s="14">
        <f>AG5 + AH5 + AI5 + AJ5 + AK5</f>
        <v>14</v>
      </c>
      <c r="AM5" s="16" t="str">
        <f>IF(ISBLANK(L5), "", IF(L5 = "Open Bottom Structure", "Passable", IF(L5 = "Other", "Unknown", IF(AL5 &lt; 15, "Passable", IF(AND(AL5 &gt;= 15,AL5 &lt;= 19), "Potential", IF(AL5 &gt; 19, "Barrier", ""))))))</f>
        <v>Passable</v>
      </c>
      <c r="AN5" s="121"/>
      <c r="AO5" s="121"/>
      <c r="AP5" s="103" t="s">
        <v>109</v>
      </c>
    </row>
    <row r="6" spans="1:42" s="13" customFormat="1" x14ac:dyDescent="0.25">
      <c r="A6" s="117">
        <v>44455</v>
      </c>
      <c r="B6" s="112">
        <v>124456</v>
      </c>
      <c r="C6" s="116"/>
      <c r="D6" s="116" t="s">
        <v>94</v>
      </c>
      <c r="E6" s="77">
        <v>9</v>
      </c>
      <c r="F6" s="78">
        <v>589615.04121538706</v>
      </c>
      <c r="G6" s="79">
        <v>6122516.1767658098</v>
      </c>
      <c r="H6" s="116" t="s">
        <v>95</v>
      </c>
      <c r="I6" s="77" t="s">
        <v>96</v>
      </c>
      <c r="J6" s="104"/>
      <c r="K6" s="116" t="s">
        <v>115</v>
      </c>
      <c r="L6" s="116" t="s">
        <v>103</v>
      </c>
      <c r="M6" s="116" t="s">
        <v>110</v>
      </c>
      <c r="N6" s="109">
        <v>1.3</v>
      </c>
      <c r="O6" s="109">
        <v>8</v>
      </c>
      <c r="P6" s="116" t="s">
        <v>105</v>
      </c>
      <c r="Q6" s="116">
        <v>0.3</v>
      </c>
      <c r="R6" s="116" t="s">
        <v>105</v>
      </c>
      <c r="S6" s="116" t="s">
        <v>105</v>
      </c>
      <c r="T6" s="116">
        <v>100</v>
      </c>
      <c r="U6" s="116">
        <v>0.5</v>
      </c>
      <c r="V6" s="116"/>
      <c r="W6" s="116"/>
      <c r="X6" s="116" t="s">
        <v>106</v>
      </c>
      <c r="Y6" s="116">
        <v>0.5</v>
      </c>
      <c r="Z6" s="116">
        <v>1.3</v>
      </c>
      <c r="AA6" s="116">
        <v>0.5</v>
      </c>
      <c r="AB6" s="115" t="s">
        <v>106</v>
      </c>
      <c r="AC6" s="115" t="s">
        <v>106</v>
      </c>
      <c r="AD6" s="116" t="s">
        <v>107</v>
      </c>
      <c r="AE6" s="116" t="s">
        <v>112</v>
      </c>
      <c r="AF6" s="22">
        <f t="shared" ref="AF6:AF11" si="0">IF(ISBLANK(Z6), 0, IF(ISBLANK(N6) &lt; 0, 0,Z6 / N6))</f>
        <v>1</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3</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113</v>
      </c>
    </row>
    <row r="7" spans="1:42" s="13" customFormat="1" x14ac:dyDescent="0.25">
      <c r="A7" s="117">
        <v>44444</v>
      </c>
      <c r="B7" s="112">
        <v>123776</v>
      </c>
      <c r="C7" s="116"/>
      <c r="D7" s="116" t="s">
        <v>97</v>
      </c>
      <c r="E7" s="77">
        <v>9</v>
      </c>
      <c r="F7" s="78">
        <v>606462.37770841899</v>
      </c>
      <c r="G7" s="79">
        <v>6100156.2105230102</v>
      </c>
      <c r="H7" s="116" t="s">
        <v>98</v>
      </c>
      <c r="I7" s="77" t="s">
        <v>93</v>
      </c>
      <c r="J7" s="104"/>
      <c r="K7" s="116" t="s">
        <v>116</v>
      </c>
      <c r="L7" s="116" t="s">
        <v>100</v>
      </c>
      <c r="M7" s="116" t="s">
        <v>101</v>
      </c>
      <c r="N7" s="114">
        <v>23</v>
      </c>
      <c r="O7" s="114">
        <v>11</v>
      </c>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16" t="s">
        <v>102</v>
      </c>
    </row>
    <row r="8" spans="1:42" s="13" customFormat="1" x14ac:dyDescent="0.25">
      <c r="A8" s="117">
        <v>44444</v>
      </c>
      <c r="B8" s="110">
        <v>123375</v>
      </c>
      <c r="C8" s="116"/>
      <c r="D8" s="116" t="s">
        <v>97</v>
      </c>
      <c r="E8" s="77">
        <v>9</v>
      </c>
      <c r="F8" s="78">
        <v>642497</v>
      </c>
      <c r="G8" s="79">
        <v>6048191</v>
      </c>
      <c r="H8" s="116" t="s">
        <v>99</v>
      </c>
      <c r="I8" s="77" t="s">
        <v>93</v>
      </c>
      <c r="J8" s="105"/>
      <c r="K8" s="77" t="s">
        <v>117</v>
      </c>
      <c r="L8" s="116" t="s">
        <v>103</v>
      </c>
      <c r="M8" s="116" t="s">
        <v>110</v>
      </c>
      <c r="N8" s="114">
        <v>0.5</v>
      </c>
      <c r="O8" s="114">
        <v>29</v>
      </c>
      <c r="P8" s="116" t="s">
        <v>106</v>
      </c>
      <c r="Q8" s="121"/>
      <c r="R8" s="116" t="s">
        <v>106</v>
      </c>
      <c r="S8" s="116" t="s">
        <v>105</v>
      </c>
      <c r="T8" s="116">
        <v>50</v>
      </c>
      <c r="U8" s="116">
        <v>2.5</v>
      </c>
      <c r="V8" s="116">
        <v>0</v>
      </c>
      <c r="W8" s="116"/>
      <c r="X8" s="116" t="s">
        <v>106</v>
      </c>
      <c r="Y8" s="116">
        <v>2</v>
      </c>
      <c r="Z8" s="116">
        <v>1</v>
      </c>
      <c r="AA8" s="116">
        <v>0.5</v>
      </c>
      <c r="AB8" s="115" t="s">
        <v>106</v>
      </c>
      <c r="AC8" s="115" t="s">
        <v>106</v>
      </c>
      <c r="AD8" s="116" t="s">
        <v>107</v>
      </c>
      <c r="AE8" s="116" t="s">
        <v>111</v>
      </c>
      <c r="AF8" s="22">
        <f t="shared" si="0"/>
        <v>2</v>
      </c>
      <c r="AG8" s="15">
        <f t="shared" si="1"/>
        <v>3</v>
      </c>
      <c r="AH8" s="7">
        <f t="shared" si="2"/>
        <v>10</v>
      </c>
      <c r="AI8" s="7">
        <f t="shared" si="3"/>
        <v>0</v>
      </c>
      <c r="AJ8" s="7">
        <f t="shared" si="4"/>
        <v>5</v>
      </c>
      <c r="AK8" s="12">
        <f t="shared" si="5"/>
        <v>6</v>
      </c>
      <c r="AL8" s="14">
        <f t="shared" si="6"/>
        <v>24</v>
      </c>
      <c r="AM8" s="16" t="str">
        <f t="shared" si="7"/>
        <v>Barrier</v>
      </c>
      <c r="AN8" s="116" t="s">
        <v>118</v>
      </c>
      <c r="AO8" s="116">
        <v>3</v>
      </c>
      <c r="AP8" s="116" t="s">
        <v>114</v>
      </c>
    </row>
    <row r="9" spans="1:42" x14ac:dyDescent="0.25">
      <c r="A9" s="117"/>
      <c r="B9" s="111"/>
      <c r="C9" s="116"/>
      <c r="D9" s="116"/>
      <c r="E9" s="77"/>
      <c r="F9" s="78"/>
      <c r="G9" s="79"/>
      <c r="H9" s="103"/>
      <c r="I9" s="77"/>
      <c r="J9" s="104"/>
      <c r="K9" s="108"/>
      <c r="L9" s="116"/>
      <c r="M9" s="115"/>
      <c r="N9" s="113"/>
      <c r="O9" s="113"/>
      <c r="P9" s="116"/>
      <c r="Q9" s="116"/>
      <c r="R9" s="116"/>
      <c r="S9" s="116"/>
      <c r="T9" s="116"/>
      <c r="U9" s="116"/>
      <c r="V9" s="116"/>
      <c r="W9" s="116"/>
      <c r="X9" s="116"/>
      <c r="Y9" s="116"/>
      <c r="Z9" s="116"/>
      <c r="AA9" s="116"/>
      <c r="AB9" s="115"/>
      <c r="AC9" s="115"/>
      <c r="AD9" s="116"/>
      <c r="AE9" s="116"/>
      <c r="AF9" s="22">
        <f t="shared" si="0"/>
        <v>0</v>
      </c>
      <c r="AG9" s="15">
        <f t="shared" si="1"/>
        <v>0</v>
      </c>
      <c r="AH9" s="7">
        <f t="shared" si="2"/>
        <v>0</v>
      </c>
      <c r="AI9" s="7">
        <f t="shared" si="3"/>
        <v>0</v>
      </c>
      <c r="AJ9" s="7">
        <f t="shared" si="4"/>
        <v>0</v>
      </c>
      <c r="AK9" s="12">
        <f t="shared" si="5"/>
        <v>0</v>
      </c>
      <c r="AL9" s="14">
        <f t="shared" si="6"/>
        <v>0</v>
      </c>
      <c r="AM9" s="16" t="str">
        <f t="shared" si="7"/>
        <v/>
      </c>
      <c r="AN9" s="116"/>
      <c r="AO9" s="116"/>
      <c r="AP9" s="116"/>
    </row>
    <row r="10" spans="1:42" x14ac:dyDescent="0.25">
      <c r="A10" s="117"/>
      <c r="B10" s="111"/>
      <c r="C10" s="116"/>
      <c r="D10" s="116"/>
      <c r="E10" s="77"/>
      <c r="F10" s="78"/>
      <c r="G10" s="79"/>
      <c r="H10" s="103"/>
      <c r="I10" s="77"/>
      <c r="J10" s="104"/>
      <c r="K10" s="116"/>
      <c r="L10" s="116"/>
      <c r="M10" s="116"/>
      <c r="N10" s="114"/>
      <c r="O10" s="114"/>
      <c r="P10" s="116"/>
      <c r="Q10" s="114"/>
      <c r="R10" s="116"/>
      <c r="S10" s="116"/>
      <c r="T10" s="114"/>
      <c r="U10" s="114"/>
      <c r="V10" s="116"/>
      <c r="W10" s="114"/>
      <c r="X10" s="116"/>
      <c r="Y10" s="114"/>
      <c r="Z10" s="114"/>
      <c r="AA10" s="116"/>
      <c r="AB10" s="116"/>
      <c r="AC10" s="116"/>
      <c r="AD10" s="116"/>
      <c r="AE10" s="116"/>
      <c r="AF10" s="22">
        <f t="shared" si="0"/>
        <v>0</v>
      </c>
      <c r="AG10" s="15">
        <f t="shared" si="1"/>
        <v>0</v>
      </c>
      <c r="AH10" s="7">
        <f t="shared" si="2"/>
        <v>0</v>
      </c>
      <c r="AI10" s="7">
        <f t="shared" si="3"/>
        <v>0</v>
      </c>
      <c r="AJ10" s="7">
        <f t="shared" si="4"/>
        <v>0</v>
      </c>
      <c r="AK10" s="12">
        <f t="shared" si="5"/>
        <v>0</v>
      </c>
      <c r="AL10" s="14">
        <f t="shared" si="6"/>
        <v>0</v>
      </c>
      <c r="AM10" s="16" t="str">
        <f t="shared" si="7"/>
        <v/>
      </c>
      <c r="AN10" s="115"/>
      <c r="AO10" s="114"/>
      <c r="AP10" s="116"/>
    </row>
    <row r="11" spans="1:42" x14ac:dyDescent="0.25">
      <c r="A11" s="117"/>
      <c r="B11" s="111"/>
      <c r="C11" s="103"/>
      <c r="D11" s="115"/>
      <c r="E11" s="115"/>
      <c r="F11" s="107"/>
      <c r="G11" s="106"/>
      <c r="H11" s="103"/>
      <c r="I11" s="77"/>
      <c r="J11" s="104"/>
      <c r="K11" s="115"/>
      <c r="L11" s="116"/>
      <c r="M11" s="116"/>
      <c r="N11" s="113"/>
      <c r="O11" s="113"/>
      <c r="P11" s="115"/>
      <c r="Q11" s="113"/>
      <c r="R11" s="115"/>
      <c r="S11" s="115"/>
      <c r="T11" s="113"/>
      <c r="U11" s="113"/>
      <c r="V11" s="115"/>
      <c r="W11" s="113"/>
      <c r="X11" s="115"/>
      <c r="Y11" s="113"/>
      <c r="Z11" s="113"/>
      <c r="AA11" s="115"/>
      <c r="AB11" s="115"/>
      <c r="AC11" s="115"/>
      <c r="AD11" s="115"/>
      <c r="AE11" s="115"/>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5"/>
      <c r="AO11" s="116"/>
      <c r="AP11" s="116"/>
    </row>
    <row r="12" spans="1:42" x14ac:dyDescent="0.25">
      <c r="A12" s="117"/>
      <c r="B12" s="73"/>
      <c r="C12" s="116"/>
      <c r="D12" s="116"/>
      <c r="E12" s="77"/>
      <c r="F12" s="78"/>
      <c r="G12" s="79"/>
      <c r="H12" s="77"/>
      <c r="I12" s="77"/>
      <c r="J12" s="42"/>
      <c r="K12" s="77"/>
      <c r="L12" s="116"/>
      <c r="M12" s="116"/>
      <c r="N12" s="114"/>
      <c r="O12" s="114"/>
      <c r="P12" s="116"/>
      <c r="Q12" s="116"/>
      <c r="R12" s="116"/>
      <c r="S12" s="116"/>
      <c r="T12" s="114"/>
      <c r="U12" s="114"/>
      <c r="V12" s="116"/>
      <c r="W12" s="114"/>
      <c r="X12" s="116"/>
      <c r="Y12" s="114"/>
      <c r="Z12" s="114"/>
      <c r="AA12" s="116"/>
      <c r="AB12" s="116"/>
      <c r="AC12" s="116"/>
      <c r="AD12" s="116"/>
      <c r="AE12" s="116"/>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6"/>
      <c r="AO12" s="114"/>
      <c r="AP12" s="116"/>
    </row>
    <row r="13" spans="1:42" x14ac:dyDescent="0.25">
      <c r="A13" s="117"/>
      <c r="B13" s="76"/>
      <c r="C13" s="116"/>
      <c r="D13" s="116"/>
      <c r="E13" s="77"/>
      <c r="F13" s="78"/>
      <c r="G13" s="79"/>
      <c r="H13" s="77"/>
      <c r="I13" s="77"/>
      <c r="J13" s="80"/>
      <c r="K13" s="77"/>
      <c r="L13" s="116"/>
      <c r="M13" s="116"/>
      <c r="N13" s="114"/>
      <c r="O13" s="114"/>
      <c r="P13" s="116"/>
      <c r="Q13" s="116"/>
      <c r="R13" s="116"/>
      <c r="S13" s="116"/>
      <c r="T13" s="116"/>
      <c r="U13" s="114"/>
      <c r="V13" s="116"/>
      <c r="W13" s="114"/>
      <c r="X13" s="116"/>
      <c r="Y13" s="114"/>
      <c r="Z13" s="114"/>
      <c r="AA13" s="116"/>
      <c r="AB13" s="116"/>
      <c r="AC13" s="116"/>
      <c r="AD13" s="116"/>
      <c r="AE13" s="116"/>
      <c r="AF13" s="22">
        <f t="shared" si="8"/>
        <v>0</v>
      </c>
      <c r="AG13" s="15">
        <f t="shared" si="1"/>
        <v>0</v>
      </c>
      <c r="AH13" s="7">
        <f t="shared" si="2"/>
        <v>0</v>
      </c>
      <c r="AI13" s="7">
        <f t="shared" si="3"/>
        <v>0</v>
      </c>
      <c r="AJ13" s="7">
        <f t="shared" si="4"/>
        <v>0</v>
      </c>
      <c r="AK13" s="12">
        <f t="shared" si="5"/>
        <v>0</v>
      </c>
      <c r="AL13" s="14">
        <f t="shared" si="9"/>
        <v>0</v>
      </c>
      <c r="AM13" s="16" t="str">
        <f t="shared" si="7"/>
        <v/>
      </c>
      <c r="AN13" s="116"/>
      <c r="AO13" s="114"/>
      <c r="AP13" s="116"/>
    </row>
    <row r="14" spans="1:42" x14ac:dyDescent="0.25">
      <c r="A14" s="117"/>
      <c r="B14" s="76"/>
      <c r="C14" s="116"/>
      <c r="D14" s="116"/>
      <c r="E14" s="77"/>
      <c r="F14" s="78"/>
      <c r="G14" s="79"/>
      <c r="H14" s="77"/>
      <c r="I14" s="77"/>
      <c r="J14" s="80"/>
      <c r="K14" s="77"/>
      <c r="L14" s="116"/>
      <c r="M14" s="116"/>
      <c r="N14" s="114"/>
      <c r="O14" s="114"/>
      <c r="P14" s="116"/>
      <c r="Q14" s="116"/>
      <c r="R14" s="116"/>
      <c r="S14" s="116"/>
      <c r="T14" s="116"/>
      <c r="U14" s="114"/>
      <c r="V14" s="116"/>
      <c r="W14" s="114"/>
      <c r="X14" s="116"/>
      <c r="Y14" s="114"/>
      <c r="Z14" s="114"/>
      <c r="AA14" s="116"/>
      <c r="AB14" s="116"/>
      <c r="AC14" s="116"/>
      <c r="AD14" s="116"/>
      <c r="AE14" s="116"/>
      <c r="AF14" s="22">
        <f t="shared" si="8"/>
        <v>0</v>
      </c>
      <c r="AG14" s="15">
        <f t="shared" si="1"/>
        <v>0</v>
      </c>
      <c r="AH14" s="7">
        <f t="shared" si="2"/>
        <v>0</v>
      </c>
      <c r="AI14" s="7">
        <f t="shared" si="3"/>
        <v>0</v>
      </c>
      <c r="AJ14" s="7">
        <f t="shared" si="4"/>
        <v>0</v>
      </c>
      <c r="AK14" s="12">
        <f t="shared" si="5"/>
        <v>0</v>
      </c>
      <c r="AL14" s="14">
        <f t="shared" si="9"/>
        <v>0</v>
      </c>
      <c r="AM14" s="16" t="str">
        <f t="shared" si="7"/>
        <v/>
      </c>
      <c r="AN14" s="116"/>
      <c r="AO14" s="114"/>
      <c r="AP14" s="116"/>
    </row>
    <row r="15" spans="1:42" x14ac:dyDescent="0.25">
      <c r="A15" s="117"/>
      <c r="B15" s="76"/>
      <c r="C15" s="116"/>
      <c r="D15" s="116"/>
      <c r="E15" s="77"/>
      <c r="F15" s="78"/>
      <c r="G15" s="79"/>
      <c r="H15" s="77"/>
      <c r="I15" s="77"/>
      <c r="J15" s="80"/>
      <c r="K15" s="77"/>
      <c r="L15" s="116"/>
      <c r="M15" s="116"/>
      <c r="N15" s="114"/>
      <c r="O15" s="114"/>
      <c r="P15" s="116"/>
      <c r="Q15" s="116"/>
      <c r="R15" s="116"/>
      <c r="S15" s="116"/>
      <c r="T15" s="114"/>
      <c r="U15" s="114"/>
      <c r="V15" s="116"/>
      <c r="W15" s="114"/>
      <c r="X15" s="116"/>
      <c r="Y15" s="114"/>
      <c r="Z15" s="114"/>
      <c r="AA15" s="116"/>
      <c r="AB15" s="25"/>
      <c r="AC15" s="25"/>
      <c r="AD15" s="116"/>
      <c r="AE15" s="116"/>
      <c r="AF15" s="22">
        <f t="shared" si="8"/>
        <v>0</v>
      </c>
      <c r="AG15" s="15">
        <f t="shared" si="1"/>
        <v>0</v>
      </c>
      <c r="AH15" s="7">
        <f t="shared" si="2"/>
        <v>0</v>
      </c>
      <c r="AI15" s="7">
        <f t="shared" si="3"/>
        <v>0</v>
      </c>
      <c r="AJ15" s="7">
        <f t="shared" si="4"/>
        <v>0</v>
      </c>
      <c r="AK15" s="12">
        <f t="shared" si="5"/>
        <v>0</v>
      </c>
      <c r="AL15" s="14">
        <f t="shared" si="9"/>
        <v>0</v>
      </c>
      <c r="AM15" s="16" t="str">
        <f t="shared" si="7"/>
        <v/>
      </c>
      <c r="AN15" s="116"/>
      <c r="AO15" s="114"/>
      <c r="AP15" s="116"/>
    </row>
    <row r="16" spans="1:42" x14ac:dyDescent="0.25">
      <c r="A16" s="117"/>
      <c r="B16" s="76"/>
      <c r="C16" s="116"/>
      <c r="D16" s="116"/>
      <c r="E16" s="77"/>
      <c r="F16" s="78"/>
      <c r="G16" s="79"/>
      <c r="H16" s="77"/>
      <c r="I16" s="77"/>
      <c r="J16" s="80"/>
      <c r="K16" s="77"/>
      <c r="L16" s="116"/>
      <c r="M16" s="116"/>
      <c r="N16" s="114"/>
      <c r="O16" s="114"/>
      <c r="P16" s="116"/>
      <c r="Q16" s="116"/>
      <c r="R16" s="116"/>
      <c r="S16" s="116"/>
      <c r="T16" s="114"/>
      <c r="U16" s="114"/>
      <c r="V16" s="116"/>
      <c r="W16" s="114"/>
      <c r="X16" s="116"/>
      <c r="Y16" s="114"/>
      <c r="Z16" s="114"/>
      <c r="AA16" s="116"/>
      <c r="AB16" s="25"/>
      <c r="AC16" s="25"/>
      <c r="AD16" s="116"/>
      <c r="AE16" s="116"/>
      <c r="AF16" s="22">
        <f t="shared" si="8"/>
        <v>0</v>
      </c>
      <c r="AG16" s="15">
        <f t="shared" si="1"/>
        <v>0</v>
      </c>
      <c r="AH16" s="7">
        <f t="shared" si="2"/>
        <v>0</v>
      </c>
      <c r="AI16" s="7">
        <f t="shared" si="3"/>
        <v>0</v>
      </c>
      <c r="AJ16" s="7">
        <f t="shared" si="4"/>
        <v>0</v>
      </c>
      <c r="AK16" s="12">
        <f t="shared" si="5"/>
        <v>0</v>
      </c>
      <c r="AL16" s="14">
        <f t="shared" si="9"/>
        <v>0</v>
      </c>
      <c r="AM16" s="16" t="str">
        <f t="shared" si="7"/>
        <v/>
      </c>
      <c r="AN16" s="116"/>
      <c r="AO16" s="114"/>
      <c r="AP16" s="116"/>
    </row>
    <row r="17" spans="1:42" x14ac:dyDescent="0.25">
      <c r="A17" s="117"/>
      <c r="B17" s="76"/>
      <c r="C17" s="116"/>
      <c r="D17" s="116"/>
      <c r="E17" s="77"/>
      <c r="F17" s="78"/>
      <c r="G17" s="79"/>
      <c r="H17" s="77"/>
      <c r="I17" s="77"/>
      <c r="J17" s="80"/>
      <c r="K17" s="77"/>
      <c r="L17" s="116"/>
      <c r="M17" s="116"/>
      <c r="N17" s="114"/>
      <c r="O17" s="114"/>
      <c r="P17" s="116"/>
      <c r="Q17" s="114"/>
      <c r="R17" s="116"/>
      <c r="S17" s="116"/>
      <c r="T17" s="116"/>
      <c r="U17" s="114"/>
      <c r="V17" s="116"/>
      <c r="W17" s="114"/>
      <c r="X17" s="116"/>
      <c r="Y17" s="114"/>
      <c r="Z17" s="114"/>
      <c r="AA17" s="116"/>
      <c r="AB17" s="25"/>
      <c r="AC17" s="25"/>
      <c r="AD17" s="116"/>
      <c r="AE17" s="116"/>
      <c r="AF17" s="22">
        <f t="shared" si="8"/>
        <v>0</v>
      </c>
      <c r="AG17" s="15">
        <f t="shared" si="1"/>
        <v>0</v>
      </c>
      <c r="AH17" s="7">
        <f t="shared" si="2"/>
        <v>0</v>
      </c>
      <c r="AI17" s="7">
        <f t="shared" si="3"/>
        <v>0</v>
      </c>
      <c r="AJ17" s="7">
        <f t="shared" si="4"/>
        <v>0</v>
      </c>
      <c r="AK17" s="12">
        <f t="shared" si="5"/>
        <v>0</v>
      </c>
      <c r="AL17" s="14">
        <f t="shared" si="9"/>
        <v>0</v>
      </c>
      <c r="AM17" s="16" t="str">
        <f t="shared" si="7"/>
        <v/>
      </c>
      <c r="AN17" s="116"/>
      <c r="AO17" s="114"/>
      <c r="AP17" s="116"/>
    </row>
    <row r="18" spans="1:42" x14ac:dyDescent="0.25">
      <c r="A18" s="117"/>
      <c r="B18" s="76"/>
      <c r="C18" s="116"/>
      <c r="D18" s="116"/>
      <c r="E18" s="77"/>
      <c r="F18" s="78"/>
      <c r="G18" s="79"/>
      <c r="H18" s="77"/>
      <c r="I18" s="77"/>
      <c r="J18" s="80"/>
      <c r="K18" s="77"/>
      <c r="L18" s="116"/>
      <c r="M18" s="116"/>
      <c r="N18" s="114"/>
      <c r="O18" s="114"/>
      <c r="P18" s="116"/>
      <c r="Q18" s="116"/>
      <c r="R18" s="116"/>
      <c r="S18" s="116"/>
      <c r="T18" s="114"/>
      <c r="U18" s="114"/>
      <c r="V18" s="116"/>
      <c r="W18" s="114"/>
      <c r="X18" s="116"/>
      <c r="Y18" s="114"/>
      <c r="Z18" s="114"/>
      <c r="AA18" s="116"/>
      <c r="AB18" s="25"/>
      <c r="AC18" s="25"/>
      <c r="AD18" s="116"/>
      <c r="AE18" s="116"/>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116"/>
    </row>
    <row r="19" spans="1:42" x14ac:dyDescent="0.25">
      <c r="A19" s="117"/>
      <c r="B19" s="76"/>
      <c r="C19" s="116"/>
      <c r="D19" s="116"/>
      <c r="E19" s="77"/>
      <c r="F19" s="78"/>
      <c r="G19" s="79"/>
      <c r="H19" s="77"/>
      <c r="I19" s="77"/>
      <c r="J19" s="42"/>
      <c r="K19" s="77"/>
      <c r="L19" s="116"/>
      <c r="M19" s="116"/>
      <c r="N19" s="114"/>
      <c r="O19" s="114"/>
      <c r="P19" s="116"/>
      <c r="Q19" s="116"/>
      <c r="R19" s="116"/>
      <c r="S19" s="116"/>
      <c r="T19" s="114"/>
      <c r="U19" s="114"/>
      <c r="V19" s="116"/>
      <c r="W19" s="114"/>
      <c r="X19" s="116"/>
      <c r="Y19" s="114"/>
      <c r="Z19" s="114"/>
      <c r="AA19" s="116"/>
      <c r="AB19" s="25"/>
      <c r="AC19" s="25"/>
      <c r="AD19" s="116"/>
      <c r="AE19" s="116"/>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116"/>
    </row>
    <row r="20" spans="1:42" x14ac:dyDescent="0.25">
      <c r="A20" s="117"/>
      <c r="B20" s="76"/>
      <c r="C20" s="116"/>
      <c r="D20" s="116"/>
      <c r="E20" s="77"/>
      <c r="F20" s="78"/>
      <c r="G20" s="79"/>
      <c r="H20" s="116"/>
      <c r="I20" s="77"/>
      <c r="J20" s="42"/>
      <c r="K20" s="77"/>
      <c r="L20" s="116"/>
      <c r="M20" s="116"/>
      <c r="N20" s="114"/>
      <c r="O20" s="114"/>
      <c r="P20" s="116"/>
      <c r="Q20" s="116"/>
      <c r="R20" s="116"/>
      <c r="S20" s="116"/>
      <c r="T20" s="116"/>
      <c r="U20" s="116"/>
      <c r="V20" s="116"/>
      <c r="W20" s="116"/>
      <c r="X20" s="116"/>
      <c r="Y20" s="116"/>
      <c r="Z20" s="116"/>
      <c r="AA20" s="116"/>
      <c r="AB20" s="25"/>
      <c r="AC20" s="25"/>
      <c r="AD20" s="116"/>
      <c r="AE20" s="116"/>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116"/>
    </row>
    <row r="21" spans="1:42" x14ac:dyDescent="0.25">
      <c r="A21" s="117"/>
      <c r="B21" s="76"/>
      <c r="C21" s="116"/>
      <c r="D21" s="116"/>
      <c r="E21" s="25"/>
      <c r="F21" s="75"/>
      <c r="G21" s="81"/>
      <c r="H21" s="116"/>
      <c r="I21" s="116"/>
      <c r="J21" s="42"/>
      <c r="K21" s="25"/>
      <c r="L21" s="116"/>
      <c r="M21" s="116"/>
      <c r="N21" s="114"/>
      <c r="O21" s="114"/>
      <c r="P21" s="116"/>
      <c r="Q21" s="114"/>
      <c r="R21" s="116"/>
      <c r="S21" s="116"/>
      <c r="T21" s="114"/>
      <c r="U21" s="114"/>
      <c r="V21" s="116"/>
      <c r="W21" s="114"/>
      <c r="X21" s="116"/>
      <c r="Y21" s="114"/>
      <c r="Z21" s="114"/>
      <c r="AA21" s="116"/>
      <c r="AB21" s="116"/>
      <c r="AC21" s="116"/>
      <c r="AD21" s="116"/>
      <c r="AE21" s="116"/>
      <c r="AF21" s="22">
        <f t="shared" si="8"/>
        <v>0</v>
      </c>
      <c r="AG21" s="15">
        <f t="shared" si="1"/>
        <v>0</v>
      </c>
      <c r="AH21" s="7">
        <f t="shared" si="2"/>
        <v>0</v>
      </c>
      <c r="AI21" s="7">
        <f t="shared" si="3"/>
        <v>0</v>
      </c>
      <c r="AJ21" s="7">
        <f t="shared" si="4"/>
        <v>0</v>
      </c>
      <c r="AK21" s="12">
        <f t="shared" si="5"/>
        <v>0</v>
      </c>
      <c r="AL21" s="14">
        <f t="shared" si="9"/>
        <v>0</v>
      </c>
      <c r="AM21" s="16" t="str">
        <f t="shared" si="7"/>
        <v/>
      </c>
      <c r="AN21" s="116"/>
      <c r="AO21" s="114"/>
      <c r="AP21" s="116"/>
    </row>
    <row r="22" spans="1:42" x14ac:dyDescent="0.25">
      <c r="A22" s="117"/>
      <c r="B22" s="76"/>
      <c r="C22" s="116"/>
      <c r="D22" s="116"/>
      <c r="E22" s="77"/>
      <c r="F22" s="78"/>
      <c r="G22" s="79"/>
      <c r="H22" s="77"/>
      <c r="I22" s="77"/>
      <c r="J22" s="80"/>
      <c r="K22" s="77"/>
      <c r="L22" s="116"/>
      <c r="M22" s="116"/>
      <c r="N22" s="114"/>
      <c r="O22" s="114"/>
      <c r="P22" s="116"/>
      <c r="Q22" s="114"/>
      <c r="R22" s="116"/>
      <c r="S22" s="116"/>
      <c r="T22" s="114"/>
      <c r="U22" s="114"/>
      <c r="V22" s="116"/>
      <c r="W22" s="114"/>
      <c r="X22" s="116"/>
      <c r="Y22" s="114"/>
      <c r="Z22" s="114"/>
      <c r="AA22" s="116"/>
      <c r="AB22" s="25"/>
      <c r="AC22" s="25"/>
      <c r="AD22" s="116"/>
      <c r="AE22" s="116"/>
      <c r="AF22" s="22">
        <f t="shared" si="8"/>
        <v>0</v>
      </c>
      <c r="AG22" s="15">
        <f t="shared" si="1"/>
        <v>0</v>
      </c>
      <c r="AH22" s="7">
        <f t="shared" si="2"/>
        <v>0</v>
      </c>
      <c r="AI22" s="7">
        <f t="shared" si="3"/>
        <v>0</v>
      </c>
      <c r="AJ22" s="7">
        <f t="shared" si="4"/>
        <v>0</v>
      </c>
      <c r="AK22" s="12">
        <f t="shared" si="5"/>
        <v>0</v>
      </c>
      <c r="AL22" s="14">
        <f t="shared" si="9"/>
        <v>0</v>
      </c>
      <c r="AM22" s="16" t="str">
        <f t="shared" si="7"/>
        <v/>
      </c>
      <c r="AN22" s="116"/>
      <c r="AO22" s="114"/>
      <c r="AP22" s="116"/>
    </row>
    <row r="23" spans="1:42" x14ac:dyDescent="0.25">
      <c r="A23" s="117"/>
      <c r="B23" s="76"/>
      <c r="C23" s="116"/>
      <c r="D23" s="116"/>
      <c r="E23" s="77"/>
      <c r="F23" s="78"/>
      <c r="G23" s="79"/>
      <c r="H23" s="77"/>
      <c r="I23" s="77"/>
      <c r="J23" s="80"/>
      <c r="K23" s="77"/>
      <c r="L23" s="116"/>
      <c r="M23" s="116"/>
      <c r="N23" s="114"/>
      <c r="O23" s="114"/>
      <c r="P23" s="116"/>
      <c r="Q23" s="114"/>
      <c r="R23" s="116"/>
      <c r="S23" s="116"/>
      <c r="T23" s="114"/>
      <c r="U23" s="114"/>
      <c r="V23" s="116"/>
      <c r="W23" s="114"/>
      <c r="X23" s="116"/>
      <c r="Y23" s="114"/>
      <c r="Z23" s="114"/>
      <c r="AA23" s="116"/>
      <c r="AB23" s="25"/>
      <c r="AC23" s="25"/>
      <c r="AD23" s="116"/>
      <c r="AE23" s="116"/>
      <c r="AF23" s="22">
        <f t="shared" si="8"/>
        <v>0</v>
      </c>
      <c r="AG23" s="15">
        <f t="shared" si="1"/>
        <v>0</v>
      </c>
      <c r="AH23" s="7">
        <f t="shared" si="2"/>
        <v>0</v>
      </c>
      <c r="AI23" s="7">
        <f t="shared" si="3"/>
        <v>0</v>
      </c>
      <c r="AJ23" s="7">
        <f t="shared" si="4"/>
        <v>0</v>
      </c>
      <c r="AK23" s="12">
        <f t="shared" si="5"/>
        <v>0</v>
      </c>
      <c r="AL23" s="14">
        <f t="shared" si="9"/>
        <v>0</v>
      </c>
      <c r="AM23" s="16" t="str">
        <f t="shared" si="7"/>
        <v/>
      </c>
      <c r="AN23" s="116"/>
      <c r="AO23" s="114"/>
      <c r="AP23" s="116"/>
    </row>
    <row r="24" spans="1:42" x14ac:dyDescent="0.25">
      <c r="A24" s="117"/>
      <c r="B24" s="76"/>
      <c r="C24" s="116"/>
      <c r="D24" s="116"/>
      <c r="E24" s="77"/>
      <c r="F24" s="78"/>
      <c r="G24" s="79"/>
      <c r="H24" s="77"/>
      <c r="I24" s="77"/>
      <c r="J24" s="80"/>
      <c r="K24" s="77"/>
      <c r="L24" s="116"/>
      <c r="M24" s="116"/>
      <c r="N24" s="114"/>
      <c r="O24" s="114"/>
      <c r="P24" s="116"/>
      <c r="Q24" s="114"/>
      <c r="R24" s="116"/>
      <c r="S24" s="116"/>
      <c r="T24" s="114"/>
      <c r="U24" s="114"/>
      <c r="V24" s="116"/>
      <c r="W24" s="114"/>
      <c r="X24" s="116"/>
      <c r="Y24" s="114"/>
      <c r="Z24" s="114"/>
      <c r="AA24" s="116"/>
      <c r="AB24" s="25"/>
      <c r="AC24" s="25"/>
      <c r="AD24" s="116"/>
      <c r="AE24" s="116"/>
      <c r="AF24" s="22">
        <f t="shared" si="8"/>
        <v>0</v>
      </c>
      <c r="AG24" s="15">
        <f t="shared" si="1"/>
        <v>0</v>
      </c>
      <c r="AH24" s="7">
        <f t="shared" si="2"/>
        <v>0</v>
      </c>
      <c r="AI24" s="7">
        <f t="shared" si="3"/>
        <v>0</v>
      </c>
      <c r="AJ24" s="7">
        <f t="shared" si="4"/>
        <v>0</v>
      </c>
      <c r="AK24" s="12">
        <f t="shared" si="5"/>
        <v>0</v>
      </c>
      <c r="AL24" s="14">
        <f t="shared" si="9"/>
        <v>0</v>
      </c>
      <c r="AM24" s="16" t="str">
        <f t="shared" si="7"/>
        <v/>
      </c>
      <c r="AN24" s="116"/>
      <c r="AO24" s="114"/>
      <c r="AP24" s="116"/>
    </row>
    <row r="25" spans="1:42" x14ac:dyDescent="0.25">
      <c r="A25" s="117"/>
      <c r="B25" s="76"/>
      <c r="C25" s="116"/>
      <c r="D25" s="116"/>
      <c r="E25" s="77"/>
      <c r="F25" s="78"/>
      <c r="G25" s="79"/>
      <c r="H25" s="77"/>
      <c r="I25" s="77"/>
      <c r="J25" s="80"/>
      <c r="K25" s="77"/>
      <c r="L25" s="116"/>
      <c r="M25" s="116"/>
      <c r="N25" s="114"/>
      <c r="O25" s="114"/>
      <c r="P25" s="116"/>
      <c r="Q25" s="114"/>
      <c r="R25" s="116"/>
      <c r="S25" s="116"/>
      <c r="T25" s="114"/>
      <c r="U25" s="114"/>
      <c r="V25" s="116"/>
      <c r="W25" s="114"/>
      <c r="X25" s="116"/>
      <c r="Y25" s="114"/>
      <c r="Z25" s="114"/>
      <c r="AA25" s="116"/>
      <c r="AB25" s="25"/>
      <c r="AC25" s="25"/>
      <c r="AD25" s="116"/>
      <c r="AE25" s="116"/>
      <c r="AF25" s="22">
        <f t="shared" si="8"/>
        <v>0</v>
      </c>
      <c r="AG25" s="15">
        <f t="shared" si="1"/>
        <v>0</v>
      </c>
      <c r="AH25" s="7">
        <f t="shared" si="2"/>
        <v>0</v>
      </c>
      <c r="AI25" s="7">
        <f t="shared" si="3"/>
        <v>0</v>
      </c>
      <c r="AJ25" s="7">
        <f t="shared" si="4"/>
        <v>0</v>
      </c>
      <c r="AK25" s="12">
        <f t="shared" si="5"/>
        <v>0</v>
      </c>
      <c r="AL25" s="14">
        <f t="shared" si="9"/>
        <v>0</v>
      </c>
      <c r="AM25" s="16" t="str">
        <f t="shared" si="7"/>
        <v/>
      </c>
      <c r="AN25" s="116"/>
      <c r="AO25" s="114"/>
      <c r="AP25" s="116"/>
    </row>
    <row r="26" spans="1:42" x14ac:dyDescent="0.25">
      <c r="A26" s="117"/>
      <c r="B26" s="76"/>
      <c r="C26" s="116"/>
      <c r="D26" s="116"/>
      <c r="E26" s="77"/>
      <c r="F26" s="78"/>
      <c r="G26" s="79"/>
      <c r="H26" s="77"/>
      <c r="I26" s="77"/>
      <c r="J26" s="80"/>
      <c r="K26" s="77"/>
      <c r="L26" s="116"/>
      <c r="M26" s="116"/>
      <c r="N26" s="114"/>
      <c r="O26" s="114"/>
      <c r="P26" s="116"/>
      <c r="Q26" s="114"/>
      <c r="R26" s="116"/>
      <c r="S26" s="116"/>
      <c r="T26" s="114"/>
      <c r="U26" s="114"/>
      <c r="V26" s="116"/>
      <c r="W26" s="114"/>
      <c r="X26" s="116"/>
      <c r="Y26" s="114"/>
      <c r="Z26" s="114"/>
      <c r="AA26" s="116"/>
      <c r="AB26" s="25"/>
      <c r="AC26" s="25"/>
      <c r="AD26" s="116"/>
      <c r="AE26" s="116"/>
      <c r="AF26" s="22">
        <f t="shared" si="8"/>
        <v>0</v>
      </c>
      <c r="AG26" s="15">
        <f t="shared" si="1"/>
        <v>0</v>
      </c>
      <c r="AH26" s="7">
        <f t="shared" si="2"/>
        <v>0</v>
      </c>
      <c r="AI26" s="7">
        <f t="shared" si="3"/>
        <v>0</v>
      </c>
      <c r="AJ26" s="7">
        <f t="shared" si="4"/>
        <v>0</v>
      </c>
      <c r="AK26" s="12">
        <f t="shared" si="5"/>
        <v>0</v>
      </c>
      <c r="AL26" s="14">
        <f t="shared" si="9"/>
        <v>0</v>
      </c>
      <c r="AM26" s="16" t="str">
        <f t="shared" si="7"/>
        <v/>
      </c>
      <c r="AN26" s="116"/>
      <c r="AO26" s="114"/>
      <c r="AP26" s="116"/>
    </row>
    <row r="27" spans="1:42" x14ac:dyDescent="0.25">
      <c r="A27" s="117"/>
      <c r="B27" s="76"/>
      <c r="C27" s="116"/>
      <c r="D27" s="116"/>
      <c r="E27" s="77"/>
      <c r="F27" s="78"/>
      <c r="G27" s="79"/>
      <c r="H27" s="77"/>
      <c r="I27" s="77"/>
      <c r="J27" s="80"/>
      <c r="K27" s="77"/>
      <c r="L27" s="116"/>
      <c r="M27" s="116"/>
      <c r="N27" s="114"/>
      <c r="O27" s="114"/>
      <c r="P27" s="116"/>
      <c r="Q27" s="114"/>
      <c r="R27" s="116"/>
      <c r="S27" s="116"/>
      <c r="T27" s="114"/>
      <c r="U27" s="114"/>
      <c r="V27" s="116"/>
      <c r="W27" s="114"/>
      <c r="X27" s="116"/>
      <c r="Y27" s="114"/>
      <c r="Z27" s="114"/>
      <c r="AA27" s="116"/>
      <c r="AB27" s="116"/>
      <c r="AC27" s="116"/>
      <c r="AD27" s="116"/>
      <c r="AE27" s="116"/>
      <c r="AF27" s="22">
        <f t="shared" si="8"/>
        <v>0</v>
      </c>
      <c r="AG27" s="15">
        <f t="shared" si="1"/>
        <v>0</v>
      </c>
      <c r="AH27" s="7">
        <f t="shared" si="2"/>
        <v>0</v>
      </c>
      <c r="AI27" s="7">
        <f t="shared" si="3"/>
        <v>0</v>
      </c>
      <c r="AJ27" s="7">
        <f t="shared" si="4"/>
        <v>0</v>
      </c>
      <c r="AK27" s="12">
        <f t="shared" si="5"/>
        <v>0</v>
      </c>
      <c r="AL27" s="14">
        <f t="shared" si="9"/>
        <v>0</v>
      </c>
      <c r="AM27" s="16" t="str">
        <f t="shared" si="7"/>
        <v/>
      </c>
      <c r="AN27" s="116"/>
      <c r="AO27" s="114"/>
      <c r="AP27" s="116"/>
    </row>
    <row r="28" spans="1:42" x14ac:dyDescent="0.25">
      <c r="A28" s="117"/>
      <c r="B28" s="76"/>
      <c r="C28" s="116"/>
      <c r="D28" s="116"/>
      <c r="E28" s="77"/>
      <c r="F28" s="78"/>
      <c r="G28" s="79"/>
      <c r="H28" s="77"/>
      <c r="I28" s="77"/>
      <c r="J28" s="80"/>
      <c r="K28" s="77"/>
      <c r="L28" s="116"/>
      <c r="M28" s="116"/>
      <c r="N28" s="114"/>
      <c r="O28" s="114"/>
      <c r="P28" s="116"/>
      <c r="Q28" s="114"/>
      <c r="R28" s="116"/>
      <c r="S28" s="116"/>
      <c r="T28" s="114"/>
      <c r="U28" s="114"/>
      <c r="V28" s="116"/>
      <c r="W28" s="114"/>
      <c r="X28" s="116"/>
      <c r="Y28" s="114"/>
      <c r="Z28" s="114"/>
      <c r="AA28" s="116"/>
      <c r="AB28" s="116"/>
      <c r="AC28" s="116"/>
      <c r="AD28" s="116"/>
      <c r="AE28" s="116"/>
      <c r="AF28" s="22">
        <f t="shared" si="8"/>
        <v>0</v>
      </c>
      <c r="AG28" s="15">
        <f t="shared" si="1"/>
        <v>0</v>
      </c>
      <c r="AH28" s="7">
        <f t="shared" si="2"/>
        <v>0</v>
      </c>
      <c r="AI28" s="7">
        <f t="shared" si="3"/>
        <v>0</v>
      </c>
      <c r="AJ28" s="7">
        <f t="shared" si="4"/>
        <v>0</v>
      </c>
      <c r="AK28" s="12">
        <f t="shared" si="5"/>
        <v>0</v>
      </c>
      <c r="AL28" s="14">
        <f t="shared" si="9"/>
        <v>0</v>
      </c>
      <c r="AM28" s="16" t="str">
        <f t="shared" si="7"/>
        <v/>
      </c>
      <c r="AN28" s="116"/>
      <c r="AO28" s="114"/>
      <c r="AP28" s="116"/>
    </row>
    <row r="29" spans="1:42" x14ac:dyDescent="0.25">
      <c r="A29" s="117"/>
      <c r="B29" s="76"/>
      <c r="C29" s="116"/>
      <c r="D29" s="116"/>
      <c r="E29" s="77"/>
      <c r="F29" s="78"/>
      <c r="G29" s="79"/>
      <c r="H29" s="77"/>
      <c r="I29" s="77"/>
      <c r="J29" s="80"/>
      <c r="K29" s="77"/>
      <c r="L29" s="116"/>
      <c r="M29" s="116"/>
      <c r="N29" s="114"/>
      <c r="O29" s="114"/>
      <c r="P29" s="116"/>
      <c r="Q29" s="114"/>
      <c r="R29" s="116"/>
      <c r="S29" s="116"/>
      <c r="T29" s="114"/>
      <c r="U29" s="114"/>
      <c r="V29" s="116"/>
      <c r="W29" s="114"/>
      <c r="X29" s="116"/>
      <c r="Y29" s="114"/>
      <c r="Z29" s="114"/>
      <c r="AA29" s="116"/>
      <c r="AB29" s="116"/>
      <c r="AC29" s="116"/>
      <c r="AD29" s="116"/>
      <c r="AE29" s="116"/>
      <c r="AF29" s="22">
        <f t="shared" si="8"/>
        <v>0</v>
      </c>
      <c r="AG29" s="15">
        <f t="shared" si="1"/>
        <v>0</v>
      </c>
      <c r="AH29" s="7">
        <f t="shared" si="2"/>
        <v>0</v>
      </c>
      <c r="AI29" s="7">
        <f t="shared" si="3"/>
        <v>0</v>
      </c>
      <c r="AJ29" s="7">
        <f t="shared" si="4"/>
        <v>0</v>
      </c>
      <c r="AK29" s="12">
        <f t="shared" si="5"/>
        <v>0</v>
      </c>
      <c r="AL29" s="14">
        <f t="shared" si="9"/>
        <v>0</v>
      </c>
      <c r="AM29" s="16" t="str">
        <f t="shared" si="7"/>
        <v/>
      </c>
      <c r="AN29" s="116"/>
      <c r="AO29" s="114"/>
      <c r="AP29" s="116"/>
    </row>
    <row r="30" spans="1:42" x14ac:dyDescent="0.25">
      <c r="A30" s="117"/>
      <c r="B30" s="76"/>
      <c r="C30" s="116"/>
      <c r="D30" s="116"/>
      <c r="E30" s="77"/>
      <c r="F30" s="78"/>
      <c r="G30" s="79"/>
      <c r="H30" s="77"/>
      <c r="I30" s="77"/>
      <c r="J30" s="80"/>
      <c r="K30" s="77"/>
      <c r="L30" s="116"/>
      <c r="M30" s="116"/>
      <c r="N30" s="114"/>
      <c r="O30" s="114"/>
      <c r="P30" s="116"/>
      <c r="Q30" s="114"/>
      <c r="R30" s="116"/>
      <c r="S30" s="116"/>
      <c r="T30" s="114"/>
      <c r="U30" s="114"/>
      <c r="V30" s="116"/>
      <c r="W30" s="114"/>
      <c r="X30" s="116"/>
      <c r="Y30" s="114"/>
      <c r="Z30" s="114"/>
      <c r="AA30" s="116"/>
      <c r="AB30" s="25"/>
      <c r="AC30" s="25"/>
      <c r="AD30" s="116"/>
      <c r="AE30" s="116"/>
      <c r="AF30" s="22">
        <f t="shared" si="8"/>
        <v>0</v>
      </c>
      <c r="AG30" s="15">
        <f t="shared" si="1"/>
        <v>0</v>
      </c>
      <c r="AH30" s="7">
        <f t="shared" si="2"/>
        <v>0</v>
      </c>
      <c r="AI30" s="7">
        <f t="shared" si="3"/>
        <v>0</v>
      </c>
      <c r="AJ30" s="7">
        <f t="shared" si="4"/>
        <v>0</v>
      </c>
      <c r="AK30" s="12">
        <f t="shared" si="5"/>
        <v>0</v>
      </c>
      <c r="AL30" s="14">
        <f t="shared" si="9"/>
        <v>0</v>
      </c>
      <c r="AM30" s="16" t="str">
        <f t="shared" si="7"/>
        <v/>
      </c>
      <c r="AN30" s="116"/>
      <c r="AO30" s="114"/>
      <c r="AP30" s="116"/>
    </row>
    <row r="31" spans="1:42" x14ac:dyDescent="0.25">
      <c r="A31" s="117"/>
      <c r="B31" s="76"/>
      <c r="C31" s="116"/>
      <c r="D31" s="116"/>
      <c r="E31" s="77"/>
      <c r="F31" s="78"/>
      <c r="G31" s="79"/>
      <c r="H31" s="77"/>
      <c r="I31" s="77"/>
      <c r="J31" s="80"/>
      <c r="K31" s="77"/>
      <c r="L31" s="116"/>
      <c r="M31" s="116"/>
      <c r="N31" s="114"/>
      <c r="O31" s="114"/>
      <c r="P31" s="116"/>
      <c r="Q31" s="114"/>
      <c r="R31" s="116"/>
      <c r="S31" s="116"/>
      <c r="T31" s="114"/>
      <c r="U31" s="114"/>
      <c r="V31" s="116"/>
      <c r="W31" s="114"/>
      <c r="X31" s="116"/>
      <c r="Y31" s="114"/>
      <c r="Z31" s="114"/>
      <c r="AA31" s="116"/>
      <c r="AB31" s="116"/>
      <c r="AC31" s="116"/>
      <c r="AD31" s="116"/>
      <c r="AE31" s="116"/>
      <c r="AF31" s="22">
        <f t="shared" si="8"/>
        <v>0</v>
      </c>
      <c r="AG31" s="15">
        <f t="shared" si="1"/>
        <v>0</v>
      </c>
      <c r="AH31" s="7">
        <f t="shared" si="2"/>
        <v>0</v>
      </c>
      <c r="AI31" s="7">
        <f t="shared" si="3"/>
        <v>0</v>
      </c>
      <c r="AJ31" s="7">
        <f t="shared" si="4"/>
        <v>0</v>
      </c>
      <c r="AK31" s="12">
        <f t="shared" si="5"/>
        <v>0</v>
      </c>
      <c r="AL31" s="14">
        <f t="shared" si="9"/>
        <v>0</v>
      </c>
      <c r="AM31" s="16" t="str">
        <f t="shared" si="7"/>
        <v/>
      </c>
      <c r="AN31" s="116"/>
      <c r="AO31" s="114"/>
      <c r="AP31" s="116"/>
    </row>
    <row r="32" spans="1:42" x14ac:dyDescent="0.25">
      <c r="A32" s="117"/>
      <c r="B32" s="76"/>
      <c r="C32" s="116"/>
      <c r="D32" s="116"/>
      <c r="E32" s="77"/>
      <c r="F32" s="78"/>
      <c r="G32" s="79"/>
      <c r="H32" s="77"/>
      <c r="I32" s="77"/>
      <c r="J32" s="80"/>
      <c r="K32" s="77"/>
      <c r="L32" s="116"/>
      <c r="M32" s="116"/>
      <c r="N32" s="114"/>
      <c r="O32" s="114"/>
      <c r="P32" s="116"/>
      <c r="Q32" s="114"/>
      <c r="R32" s="116"/>
      <c r="S32" s="116"/>
      <c r="T32" s="114"/>
      <c r="U32" s="114"/>
      <c r="V32" s="116"/>
      <c r="W32" s="114"/>
      <c r="X32" s="116"/>
      <c r="Y32" s="114"/>
      <c r="Z32" s="114"/>
      <c r="AA32" s="116"/>
      <c r="AB32" s="25"/>
      <c r="AC32" s="25"/>
      <c r="AD32" s="116"/>
      <c r="AE32" s="116"/>
      <c r="AF32" s="22">
        <f t="shared" si="8"/>
        <v>0</v>
      </c>
      <c r="AG32" s="15">
        <f t="shared" si="1"/>
        <v>0</v>
      </c>
      <c r="AH32" s="7">
        <f t="shared" si="2"/>
        <v>0</v>
      </c>
      <c r="AI32" s="7">
        <f t="shared" si="3"/>
        <v>0</v>
      </c>
      <c r="AJ32" s="7">
        <f t="shared" si="4"/>
        <v>0</v>
      </c>
      <c r="AK32" s="12">
        <f t="shared" si="5"/>
        <v>0</v>
      </c>
      <c r="AL32" s="14">
        <f t="shared" si="9"/>
        <v>0</v>
      </c>
      <c r="AM32" s="16" t="str">
        <f t="shared" si="7"/>
        <v/>
      </c>
      <c r="AN32" s="116"/>
      <c r="AO32" s="114"/>
      <c r="AP32" s="116"/>
    </row>
    <row r="33" spans="1:42" x14ac:dyDescent="0.25">
      <c r="A33" s="117"/>
      <c r="B33" s="76"/>
      <c r="C33" s="116"/>
      <c r="D33" s="116"/>
      <c r="E33" s="77"/>
      <c r="F33" s="78"/>
      <c r="G33" s="79"/>
      <c r="H33" s="77"/>
      <c r="I33" s="77"/>
      <c r="J33" s="80"/>
      <c r="K33" s="77"/>
      <c r="L33" s="116"/>
      <c r="M33" s="116"/>
      <c r="N33" s="114"/>
      <c r="O33" s="114"/>
      <c r="P33" s="116"/>
      <c r="Q33" s="114"/>
      <c r="R33" s="116"/>
      <c r="S33" s="116"/>
      <c r="T33" s="114"/>
      <c r="U33" s="114"/>
      <c r="V33" s="116"/>
      <c r="W33" s="114"/>
      <c r="X33" s="116"/>
      <c r="Y33" s="114"/>
      <c r="Z33" s="114"/>
      <c r="AA33" s="116"/>
      <c r="AB33" s="116"/>
      <c r="AC33" s="116"/>
      <c r="AD33" s="116"/>
      <c r="AE33" s="116"/>
      <c r="AF33" s="22">
        <f t="shared" si="8"/>
        <v>0</v>
      </c>
      <c r="AG33" s="15">
        <f t="shared" si="1"/>
        <v>0</v>
      </c>
      <c r="AH33" s="7">
        <f t="shared" si="2"/>
        <v>0</v>
      </c>
      <c r="AI33" s="7">
        <f t="shared" si="3"/>
        <v>0</v>
      </c>
      <c r="AJ33" s="7">
        <f t="shared" si="4"/>
        <v>0</v>
      </c>
      <c r="AK33" s="12">
        <f t="shared" si="5"/>
        <v>0</v>
      </c>
      <c r="AL33" s="14">
        <f t="shared" si="9"/>
        <v>0</v>
      </c>
      <c r="AM33" s="16" t="str">
        <f t="shared" si="7"/>
        <v/>
      </c>
      <c r="AN33" s="116"/>
      <c r="AO33" s="114"/>
      <c r="AP33" s="116"/>
    </row>
    <row r="34" spans="1:42" x14ac:dyDescent="0.25">
      <c r="A34" s="117"/>
      <c r="B34" s="76"/>
      <c r="C34" s="116"/>
      <c r="D34" s="116"/>
      <c r="E34" s="77"/>
      <c r="F34" s="78"/>
      <c r="G34" s="79"/>
      <c r="H34" s="77"/>
      <c r="I34" s="77"/>
      <c r="J34" s="80"/>
      <c r="K34" s="77"/>
      <c r="L34" s="116"/>
      <c r="M34" s="116"/>
      <c r="N34" s="114"/>
      <c r="O34" s="114"/>
      <c r="P34" s="116"/>
      <c r="Q34" s="114"/>
      <c r="R34" s="116"/>
      <c r="S34" s="116"/>
      <c r="T34" s="114"/>
      <c r="U34" s="114"/>
      <c r="V34" s="116"/>
      <c r="W34" s="114"/>
      <c r="X34" s="116"/>
      <c r="Y34" s="114"/>
      <c r="Z34" s="114"/>
      <c r="AA34" s="116"/>
      <c r="AB34" s="25"/>
      <c r="AC34" s="25"/>
      <c r="AD34" s="116"/>
      <c r="AE34" s="116"/>
      <c r="AF34" s="22">
        <f t="shared" si="8"/>
        <v>0</v>
      </c>
      <c r="AG34" s="15">
        <f t="shared" si="1"/>
        <v>0</v>
      </c>
      <c r="AH34" s="7">
        <f t="shared" si="2"/>
        <v>0</v>
      </c>
      <c r="AI34" s="7">
        <f t="shared" si="3"/>
        <v>0</v>
      </c>
      <c r="AJ34" s="7">
        <f t="shared" si="4"/>
        <v>0</v>
      </c>
      <c r="AK34" s="12">
        <f t="shared" si="5"/>
        <v>0</v>
      </c>
      <c r="AL34" s="14">
        <f t="shared" si="9"/>
        <v>0</v>
      </c>
      <c r="AM34" s="16" t="str">
        <f t="shared" si="7"/>
        <v/>
      </c>
      <c r="AN34" s="116"/>
      <c r="AO34" s="114"/>
      <c r="AP34" s="116"/>
    </row>
    <row r="35" spans="1:42" x14ac:dyDescent="0.25">
      <c r="A35" s="117"/>
      <c r="B35" s="76"/>
      <c r="C35" s="116"/>
      <c r="D35" s="116"/>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117"/>
      <c r="B36" s="76"/>
      <c r="C36" s="116"/>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x14ac:dyDescent="0.25">
      <c r="A37" s="117"/>
      <c r="B37" s="76"/>
      <c r="C37" s="116"/>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117"/>
      <c r="B38" s="76"/>
      <c r="C38" s="116"/>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117"/>
      <c r="B39" s="76"/>
      <c r="C39" s="116"/>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c r="B40" s="76"/>
      <c r="C40" s="116"/>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117"/>
      <c r="B41" s="76"/>
      <c r="C41" s="116"/>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117"/>
      <c r="B42" s="76"/>
      <c r="C42" s="116"/>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117"/>
      <c r="B43" s="76"/>
      <c r="C43" s="116"/>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117"/>
      <c r="B44" s="76"/>
      <c r="C44" s="116"/>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117"/>
      <c r="B45" s="76"/>
      <c r="C45" s="116"/>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117"/>
      <c r="B46" s="76"/>
      <c r="C46" s="116"/>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117"/>
      <c r="B47" s="76"/>
      <c r="C47" s="116"/>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117"/>
      <c r="B48" s="76"/>
      <c r="C48" s="116"/>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c r="B49" s="76"/>
      <c r="C49" s="116"/>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117"/>
      <c r="B50" s="76"/>
      <c r="C50" s="116"/>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x14ac:dyDescent="0.25">
      <c r="A51" s="117"/>
      <c r="B51" s="76"/>
      <c r="C51" s="116"/>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117"/>
      <c r="B52" s="76"/>
      <c r="C52" s="116"/>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117"/>
      <c r="B53" s="76"/>
      <c r="C53" s="116"/>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117"/>
      <c r="B54" s="76"/>
      <c r="C54" s="116"/>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117"/>
      <c r="B55" s="76"/>
      <c r="C55" s="116"/>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117"/>
      <c r="B56" s="76"/>
      <c r="C56" s="116"/>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117"/>
      <c r="B57" s="76"/>
      <c r="C57" s="116"/>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117"/>
      <c r="B58" s="76"/>
      <c r="C58" s="116"/>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117"/>
      <c r="B59" s="76"/>
      <c r="C59" s="116"/>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117"/>
      <c r="B60" s="76"/>
      <c r="C60" s="116"/>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117"/>
      <c r="B61" s="76"/>
      <c r="C61" s="116"/>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117"/>
      <c r="B62" s="76"/>
      <c r="C62" s="116"/>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117"/>
      <c r="B63" s="76"/>
      <c r="C63" s="116"/>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117"/>
      <c r="B64" s="76"/>
      <c r="C64" s="116"/>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117"/>
      <c r="B65" s="76"/>
      <c r="C65" s="116"/>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x14ac:dyDescent="0.25">
      <c r="A66" s="117"/>
      <c r="B66" s="76"/>
      <c r="C66" s="116"/>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117"/>
      <c r="B67" s="76"/>
      <c r="C67" s="116"/>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117"/>
      <c r="B68" s="76"/>
      <c r="C68" s="116"/>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117"/>
      <c r="B69" s="76"/>
      <c r="C69" s="116"/>
      <c r="D69" s="116"/>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117"/>
      <c r="B70" s="76"/>
      <c r="C70" s="116"/>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117"/>
      <c r="B71" s="76"/>
      <c r="C71" s="116"/>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117"/>
      <c r="B72" s="76"/>
      <c r="C72" s="116"/>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117"/>
      <c r="B73" s="76"/>
      <c r="C73" s="116"/>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117"/>
      <c r="B74" s="76"/>
      <c r="C74" s="116"/>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117"/>
      <c r="B75" s="76"/>
      <c r="C75" s="116"/>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117"/>
      <c r="B76" s="76"/>
      <c r="C76" s="116"/>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117"/>
      <c r="B77" s="76"/>
      <c r="C77" s="116"/>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117"/>
      <c r="B78" s="76"/>
      <c r="C78" s="116"/>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117"/>
      <c r="B79" s="76"/>
      <c r="C79" s="116"/>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117"/>
      <c r="B80" s="76"/>
      <c r="C80" s="116"/>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117"/>
      <c r="B81" s="76"/>
      <c r="C81" s="116"/>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117"/>
      <c r="B82" s="76"/>
      <c r="C82" s="116"/>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117"/>
      <c r="B83" s="76"/>
      <c r="C83" s="116"/>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117"/>
      <c r="B84" s="76"/>
      <c r="C84" s="116"/>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117"/>
      <c r="B85" s="76"/>
      <c r="C85" s="116"/>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117"/>
      <c r="B86" s="76"/>
      <c r="C86" s="116"/>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117"/>
      <c r="B87" s="76"/>
      <c r="C87" s="116"/>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117"/>
      <c r="B88" s="76"/>
      <c r="C88" s="116"/>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117"/>
      <c r="B89" s="76"/>
      <c r="C89" s="116"/>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117"/>
      <c r="B90" s="76"/>
      <c r="C90" s="116"/>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c r="B91" s="76"/>
      <c r="C91" s="116"/>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c r="B92" s="76"/>
      <c r="C92" s="116"/>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117"/>
      <c r="B93" s="76"/>
      <c r="C93" s="116"/>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117"/>
      <c r="B94" s="76"/>
      <c r="C94" s="116"/>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117"/>
      <c r="B95" s="76"/>
      <c r="C95" s="116"/>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117"/>
      <c r="B96" s="76"/>
      <c r="C96" s="116"/>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117"/>
      <c r="B97" s="76"/>
      <c r="C97" s="116"/>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117"/>
      <c r="B98" s="76"/>
      <c r="C98" s="116"/>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117"/>
      <c r="B99" s="76"/>
      <c r="C99" s="116"/>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117"/>
      <c r="B100" s="76"/>
      <c r="C100" s="116"/>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117"/>
      <c r="B101" s="76"/>
      <c r="C101" s="116"/>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116"/>
    </row>
    <row r="102" spans="1:42" x14ac:dyDescent="0.25">
      <c r="A102" s="117"/>
      <c r="B102" s="76"/>
      <c r="C102" s="116"/>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117"/>
      <c r="B103" s="76"/>
      <c r="C103" s="116"/>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117"/>
      <c r="B104" s="76"/>
      <c r="C104" s="116"/>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117"/>
      <c r="B105" s="76"/>
      <c r="C105" s="116"/>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117"/>
      <c r="B106" s="76"/>
      <c r="C106" s="116"/>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117"/>
      <c r="B107" s="76"/>
      <c r="C107" s="116"/>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117"/>
      <c r="B108" s="76"/>
      <c r="C108" s="116"/>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117"/>
      <c r="B109" s="76"/>
      <c r="C109" s="116"/>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117"/>
      <c r="B110" s="76"/>
      <c r="C110" s="116"/>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117"/>
      <c r="B111" s="76"/>
      <c r="C111" s="116"/>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117"/>
      <c r="B112" s="76"/>
      <c r="C112" s="116"/>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x14ac:dyDescent="0.25">
      <c r="A113" s="117"/>
      <c r="B113" s="76"/>
      <c r="C113" s="116"/>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117"/>
      <c r="B114" s="76"/>
      <c r="C114" s="116"/>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117"/>
      <c r="B115" s="76"/>
      <c r="C115" s="116"/>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117"/>
      <c r="B116" s="76"/>
      <c r="C116" s="116"/>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117"/>
      <c r="B117" s="76"/>
      <c r="C117" s="116"/>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117"/>
      <c r="B118" s="76"/>
      <c r="C118" s="116"/>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117"/>
      <c r="B119" s="76"/>
      <c r="C119" s="116"/>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117"/>
      <c r="B120" s="76"/>
      <c r="C120" s="116"/>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117"/>
      <c r="B121" s="76"/>
      <c r="C121" s="116"/>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117"/>
      <c r="B122" s="76"/>
      <c r="C122" s="116"/>
      <c r="D122" s="25"/>
      <c r="E122" s="77"/>
      <c r="F122" s="78"/>
      <c r="G122" s="79"/>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117"/>
      <c r="B123" s="76"/>
      <c r="C123" s="116"/>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117"/>
      <c r="B124" s="76"/>
      <c r="C124" s="116"/>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117"/>
      <c r="B125" s="76"/>
      <c r="C125" s="116"/>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117"/>
      <c r="B126" s="76"/>
      <c r="C126" s="116"/>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117"/>
      <c r="B127" s="76"/>
      <c r="C127" s="116"/>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117"/>
      <c r="B128" s="76"/>
      <c r="C128" s="116"/>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117"/>
      <c r="B129" s="76"/>
      <c r="C129" s="116"/>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117"/>
      <c r="B130" s="76"/>
      <c r="C130" s="116"/>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117"/>
      <c r="B131" s="76"/>
      <c r="C131" s="116"/>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117"/>
      <c r="B132" s="76"/>
      <c r="C132" s="116"/>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117"/>
      <c r="B133" s="76"/>
      <c r="C133" s="116"/>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117"/>
      <c r="B134" s="76"/>
      <c r="C134" s="116"/>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117"/>
      <c r="B135" s="76"/>
      <c r="C135" s="116"/>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117"/>
      <c r="B136" s="76"/>
      <c r="C136" s="116"/>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117"/>
      <c r="B137" s="76"/>
      <c r="C137" s="116"/>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117"/>
      <c r="B138" s="76"/>
      <c r="C138" s="116"/>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117"/>
      <c r="B139" s="76"/>
      <c r="C139" s="116"/>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117"/>
      <c r="B140" s="76"/>
      <c r="C140" s="116"/>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117"/>
      <c r="B141" s="76"/>
      <c r="C141" s="116"/>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117"/>
      <c r="B142" s="76"/>
      <c r="C142" s="116"/>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117"/>
      <c r="B143" s="76"/>
      <c r="C143" s="116"/>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117"/>
      <c r="B144" s="76"/>
      <c r="C144" s="116"/>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x14ac:dyDescent="0.25">
      <c r="A145" s="117"/>
      <c r="B145" s="76"/>
      <c r="C145" s="116"/>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vRGXERxiLpkFkY8DgwSWilpFxtnDEnZB4NkhtoYxR2BGf8fIq2CofvPiqWkXlYdvgVcbtAymaK1vEAZhp+QrWA==" saltValue="kVvazFLvJIN8LSgnyXrrT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4">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25 M22:M23 M34 M32 M7"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25 N22:N23 N34 N32 N7" xr:uid="{B8E592C0-C6F9-42DF-85C0-9C73183AE375}">
      <formula1>0.01</formula1>
      <formula2>100</formula2>
    </dataValidation>
    <dataValidation type="list" allowBlank="1" showInputMessage="1" showErrorMessage="1" errorTitle="Invalid value entered" error="The crossing subtype is not compatible with a crossing type of Closed Bottom Structure" sqref="M21 M11:M14 M27:M29 M33 M31 M8:M9 M5:M6"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27:N29 N33 N31 N8:N9 N5:N6"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14"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Q8"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 type="decimal" allowBlank="1" showInputMessage="1" showErrorMessage="1" errorTitle="Invalid value entered" error="The Average Depth Embededdment you entered is invalid. The Average Depth Embededdment must be &lt;= 22.99 and &gt;= 0.01" sqref="Q7" xr:uid="{5CF4CD2E-536B-4A32-92ED-DCBC2A5913F1}">
      <formula1>0.01</formula1>
      <formula2>22.99</formula2>
    </dataValidation>
    <dataValidation type="decimal" allowBlank="1" showInputMessage="1" showErrorMessage="1" errorTitle="Invalid value entered" error="The Average Depth Embededdment you entered is invalid. The Average Depth Embededdment must be &lt;= 3.99 and &gt;= 0.01" sqref="Q5" xr:uid="{E810434E-8617-466C-9CDD-6108420CB927}">
      <formula1>0.01</formula1>
      <formula2>3.99</formula2>
    </dataValidation>
    <dataValidation type="decimal" allowBlank="1" showInputMessage="1" showErrorMessage="1" errorTitle="Invalid value entered" error="The Average Depth Embededdment you entered is invalid. The Average Depth Embededdment must be &lt;= 1.29 and &gt;= 0.01" sqref="Q6" xr:uid="{B41B2CFB-A4EE-4526-B8BC-47B100E89B82}">
      <formula1>0.01</formula1>
      <formula2>1.29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2022-03-29T05:08:26Z</dcterms:modified>
</cp:coreProperties>
</file>